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stimator" sheetId="1" state="visible" r:id="rId3"/>
    <sheet name="Switchboard Rates" sheetId="2" state="visible" r:id="rId4"/>
    <sheet name="Scenario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<sst xmlns="http://schemas.openxmlformats.org/spreadsheetml/2006/main" count="98" uniqueCount="90">
  <si>
    <t xml:space="preserve">Digital Acquisition Estimator - Switchboard SMS Program</t>
  </si>
  <si>
    <t xml:space="preserve">Enter your budget below; the sheet returns minimum and high projections and checks them against your ROI floor.</t>
  </si>
  <si>
    <t xml:space="preserve">Legend:  yellow + blue text = your inputs  |  black = calculated  |  green = pulled from the Switchboard Rates tab</t>
  </si>
  <si>
    <t xml:space="preserve">STEP 1 - BUDGET, ROI FLOOR &amp; AUDIENCE</t>
  </si>
  <si>
    <t xml:space="preserve">Budget ($)</t>
  </si>
  <si>
    <t xml:space="preserve">Total you plan to invest (example value - replace with yours)</t>
  </si>
  <si>
    <t xml:space="preserve">Minimum ROI target</t>
  </si>
  <si>
    <t xml:space="preserve">150% ROI = every $1 spent must come back as $2.50 within 12 months</t>
  </si>
  <si>
    <t xml:space="preserve">Contacts available to text</t>
  </si>
  <si>
    <t xml:space="preserve">Size of your textable list - you can't text more people than you have numbers for</t>
  </si>
  <si>
    <t xml:space="preserve">STEP 2 - SWITCHBOARD TEXTING COSTS</t>
  </si>
  <si>
    <t xml:space="preserve">Initial message type</t>
  </si>
  <si>
    <t xml:space="preserve">SMS - 2 segments (161-320 chars)</t>
  </si>
  <si>
    <t xml:space="preserve">Pick from the dropdown - rates on the Switchboard Rates tab</t>
  </si>
  <si>
    <t xml:space="preserve">Cost per initial message ($)</t>
  </si>
  <si>
    <t xml:space="preserve">Pulled from Switchboard Rates for the type chosen above</t>
  </si>
  <si>
    <t xml:space="preserve">Cost per follow-up message ($)</t>
  </si>
  <si>
    <t xml:space="preserve">Follow-ups costed as 1-segment SMS; edit on the Switchboard Rates tab</t>
  </si>
  <si>
    <t xml:space="preserve">Avg follow-up messages per responder</t>
  </si>
  <si>
    <t xml:space="preserve">Conversation messages sent only to people who reply (inbound is free)</t>
  </si>
  <si>
    <t xml:space="preserve">List rental cost per contact ($)</t>
  </si>
  <si>
    <t xml:space="preserve">0 if texting your own list / voter file; $0.02-$0.10 if renting numbers</t>
  </si>
  <si>
    <t xml:space="preserve">STEP 3 - FUNNEL ASSUMPTIONS (enter a conservative and an optimistic value)</t>
  </si>
  <si>
    <t xml:space="preserve">Minimum (low)</t>
  </si>
  <si>
    <t xml:space="preserve">High</t>
  </si>
  <si>
    <t xml:space="preserve">Delivery rate</t>
  </si>
  <si>
    <t xml:space="preserve">Share of sends reaching a phone (assumption - typical 93-97%)</t>
  </si>
  <si>
    <t xml:space="preserve">Response rate (of delivered)</t>
  </si>
  <si>
    <t xml:space="preserve">Assumption - warm lists 5-15%, cold lists 1-5%</t>
  </si>
  <si>
    <t xml:space="preserve">Donor conversion rate (of delivered)</t>
  </si>
  <si>
    <t xml:space="preserve">Share of delivered texts producing a NEW donor. Assumption - cold SMS 0.05-0.3%, warm 0.3-1%</t>
  </si>
  <si>
    <t xml:space="preserve">Average initial donation ($)</t>
  </si>
  <si>
    <t xml:space="preserve">Assumption - small-dollar averages; replace with your actuals</t>
  </si>
  <si>
    <t xml:space="preserve">Additional gifts per donor (next 12 mo)</t>
  </si>
  <si>
    <t xml:space="preserve">Assumption - repeat gifts from a new donor within a year</t>
  </si>
  <si>
    <t xml:space="preserve">Average repeat gift ($)</t>
  </si>
  <si>
    <t xml:space="preserve">Assumption - average size of those follow-up gifts</t>
  </si>
  <si>
    <t xml:space="preserve">PROJECTIONS</t>
  </si>
  <si>
    <t xml:space="preserve">Minimum Projection</t>
  </si>
  <si>
    <t xml:space="preserve">High Projection</t>
  </si>
  <si>
    <t xml:space="preserve">All-in cost per contact ($)</t>
  </si>
  <si>
    <t xml:space="preserve">Initial message + expected follow-ups (responders only) + list rental</t>
  </si>
  <si>
    <t xml:space="preserve">Contacts texted</t>
  </si>
  <si>
    <t xml:space="preserve">Lesser of what the budget buys and the list size</t>
  </si>
  <si>
    <t xml:space="preserve">Estimated program spend ($)</t>
  </si>
  <si>
    <t xml:space="preserve">Actual texting + acquisition cost (can be under budget if the list runs out first)</t>
  </si>
  <si>
    <t xml:space="preserve">Unspent budget ($)</t>
  </si>
  <si>
    <t xml:space="preserve">Messages delivered</t>
  </si>
  <si>
    <t xml:space="preserve">Conversations started (replies)</t>
  </si>
  <si>
    <t xml:space="preserve">New donors acquired</t>
  </si>
  <si>
    <t xml:space="preserve">Cost per acquisition ($)</t>
  </si>
  <si>
    <t xml:space="preserve">Program spend / new donors</t>
  </si>
  <si>
    <t xml:space="preserve">Immediate revenue - first gifts ($)</t>
  </si>
  <si>
    <t xml:space="preserve">Projected 12-month revenue ($)</t>
  </si>
  <si>
    <t xml:space="preserve">First gifts + expected repeat giving</t>
  </si>
  <si>
    <t xml:space="preserve">12-month ROI</t>
  </si>
  <si>
    <t xml:space="preserve">Return after acquisition + texting costs, on dollars actually spent</t>
  </si>
  <si>
    <t xml:space="preserve">Revenue per $1 spent</t>
  </si>
  <si>
    <t xml:space="preserve">Meets minimum ROI target?</t>
  </si>
  <si>
    <t xml:space="preserve">Checked against the ROI floor in Step 1</t>
  </si>
  <si>
    <t xml:space="preserve">ROI GUARDRAILS - WHAT IT TAKES TO CLEAR THE TARGET</t>
  </si>
  <si>
    <t xml:space="preserve">12-month value per donor ($)</t>
  </si>
  <si>
    <t xml:space="preserve">First gift + expected repeat giving</t>
  </si>
  <si>
    <t xml:space="preserve">Max allowable cost per acquisition ($)</t>
  </si>
  <si>
    <t xml:space="preserve">Spend more than this per donor and you fall below the ROI floor</t>
  </si>
  <si>
    <t xml:space="preserve">Donors needed to clear target</t>
  </si>
  <si>
    <t xml:space="preserve">New donors required for this scenario's spend to return (1 + target)</t>
  </si>
  <si>
    <t xml:space="preserve">Conversion rate needed (of delivered)</t>
  </si>
  <si>
    <t xml:space="preserve">Compare to your assumed donor conversion rate in Step 3</t>
  </si>
  <si>
    <t xml:space="preserve">All yellow cells are assumptions, not guarantees - funnel rates vary widely by list quality, message, and timing. Switchboard rates were taken from published pricing on 2026-07-23 (see Switchboard Rates tab) - confirm current pricing before budgeting. If the minimum projection reads BELOW TARGET, the guardrail rows show the cost per acquisition and conversion rate you'd need to clear the floor.</t>
  </si>
  <si>
    <t xml:space="preserve">Switchboard Texting Rates (pay-as-you-go)</t>
  </si>
  <si>
    <t xml:space="preserve">Message type</t>
  </si>
  <si>
    <t xml:space="preserve">Cost per outbound message ($)</t>
  </si>
  <si>
    <t xml:space="preserve">Notes</t>
  </si>
  <si>
    <t xml:space="preserve">SMS - 1 segment (up to 160 chars)</t>
  </si>
  <si>
    <t xml:space="preserve">Plain text, no media</t>
  </si>
  <si>
    <t xml:space="preserve">2 x $0.015 per segment</t>
  </si>
  <si>
    <t xml:space="preserve">SMS - 3 segments (321-480 chars)</t>
  </si>
  <si>
    <t xml:space="preserve">3 x $0.015 per segment</t>
  </si>
  <si>
    <t xml:space="preserve">MMS (media attached / long message)</t>
  </si>
  <si>
    <t xml:space="preserve">Flat rate - same as a 2-segment SMS</t>
  </si>
  <si>
    <t xml:space="preserve">Rates confirmed by campaign, 2026-07-23: $0.015 per SMS segment, $0.030 per MMS (pay-as-you-go; see welcome.oneswitchboard.com/pricing). No monthly fee, no setup fee, no minimums or prepayment; inbound replies, landline cleaning, and errored messages are free. Blue cells are editable if rates change - the Estimator pulls from this table. Follow-up conversation messages are costed at the SMS 1-segment rate (cell B3).</t>
  </si>
  <si>
    <t xml:space="preserve">Budget Scenarios - Minimum vs. High</t>
  </si>
  <si>
    <t xml:space="preserve">Same assumptions as the Estimator tab at different budget levels. Blue budgets are editable. Spend stops growing once the budget can text the whole list (Estimator Step 1).</t>
  </si>
  <si>
    <t xml:space="preserve">Spend ($)</t>
  </si>
  <si>
    <t xml:space="preserve">New Donors</t>
  </si>
  <si>
    <t xml:space="preserve">CPA ($)</t>
  </si>
  <si>
    <t xml:space="preserve">12-mo ROI</t>
  </si>
  <si>
    <t xml:space="preserve">Meets Target? (min)</t>
  </si>
  <si>
    <t xml:space="preserve">'Meets Target?' checks the MINIMUM projection's ROI against the floor on the Estimator tab - if even the conservative case clears it, the budget level is safe. ROI here is computed on actual spend, so budgets larger than the list can absorb show flat results with the remainder unspent.</t>
  </si>
</sst>
</file>

<file path=xl/styles.xml><?xml version="1.0" encoding="utf-8"?>
<styleSheet xmlns="http://schemas.openxmlformats.org/spreadsheetml/2006/main">
  <numFmts count="10">
    <numFmt numFmtId="164" formatCode="General"/>
    <numFmt numFmtId="165" formatCode="\$#,##0;&quot;($&quot;#,##0\);\-"/>
    <numFmt numFmtId="166" formatCode="0%;\(0%\);\-"/>
    <numFmt numFmtId="167" formatCode="#,##0;\(#,##0\);\-"/>
    <numFmt numFmtId="168" formatCode="\$#,##0.0000;&quot;($&quot;#,##0.0000\);\-"/>
    <numFmt numFmtId="169" formatCode="0.0%;\(0.0%\);\-"/>
    <numFmt numFmtId="170" formatCode="0.00%;\(0.00%\);\-"/>
    <numFmt numFmtId="171" formatCode="#,##0.0;\(#,##0.0\);\-"/>
    <numFmt numFmtId="172" formatCode="\$#,##0.00;&quot;($&quot;#,##0.00\);\-"/>
    <numFmt numFmtId="173"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color rgb="FFFFFFFF"/>
      <name val="Arial"/>
      <family val="0"/>
      <charset val="1"/>
    </font>
    <font>
      <b val="true"/>
      <sz val="10"/>
      <name val="Arial"/>
      <family val="0"/>
      <charset val="1"/>
    </font>
    <font>
      <sz val="10"/>
      <color rgb="FF0000FF"/>
      <name val="Arial"/>
      <family val="0"/>
      <charset val="1"/>
    </font>
    <font>
      <sz val="10"/>
      <color rgb="FF008000"/>
      <name val="Arial"/>
      <family val="0"/>
      <charset val="1"/>
    </font>
    <font>
      <b val="true"/>
      <sz val="10"/>
      <color rgb="FF1F4E79"/>
      <name val="Arial"/>
      <family val="0"/>
      <charset val="1"/>
    </font>
    <font>
      <sz val="10"/>
      <name val="Arial"/>
      <family val="0"/>
      <charset val="1"/>
    </font>
  </fonts>
  <fills count="4">
    <fill>
      <patternFill patternType="none"/>
    </fill>
    <fill>
      <patternFill patternType="gray125"/>
    </fill>
    <fill>
      <patternFill patternType="solid">
        <fgColor rgb="FF1F4E79"/>
        <bgColor rgb="FF003366"/>
      </patternFill>
    </fill>
    <fill>
      <patternFill patternType="solid">
        <fgColor rgb="FFFFFF00"/>
        <bgColor rgb="FFFFFF00"/>
      </patternFill>
    </fill>
  </fills>
  <borders count="2">
    <border diagonalUp="false" diagonalDown="false">
      <left/>
      <right/>
      <top/>
      <bottom/>
      <diagonal/>
    </border>
    <border diagonalUp="false" diagonalDown="false">
      <left style="thin">
        <color rgb="FFB0B0B0"/>
      </left>
      <right style="thin">
        <color rgb="FFB0B0B0"/>
      </right>
      <top style="thin">
        <color rgb="FFB0B0B0"/>
      </top>
      <bottom style="thin">
        <color rgb="FFB0B0B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general" vertical="bottom" textRotation="0" wrapText="false" indent="0" shrinkToFit="false"/>
      <protection locked="true" hidden="false"/>
    </xf>
    <xf numFmtId="168" fontId="8" fillId="3"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9" fontId="8" fillId="3" borderId="1" xfId="0" applyFont="true" applyBorder="true" applyAlignment="true" applyProtection="false">
      <alignment horizontal="general" vertical="bottom" textRotation="0" wrapText="false" indent="0" shrinkToFit="false"/>
      <protection locked="true" hidden="false"/>
    </xf>
    <xf numFmtId="170" fontId="8" fillId="3" borderId="1" xfId="0" applyFont="true" applyBorder="true" applyAlignment="true" applyProtection="false">
      <alignment horizontal="general" vertical="bottom" textRotation="0" wrapText="false" indent="0" shrinkToFit="false"/>
      <protection locked="true" hidden="false"/>
    </xf>
    <xf numFmtId="171" fontId="8" fillId="3" borderId="1" xfId="0" applyFont="true" applyBorder="true" applyAlignment="true" applyProtection="false">
      <alignment horizontal="general" vertical="bottom" textRotation="0" wrapText="false" indent="0" shrinkToFit="false"/>
      <protection locked="true" hidden="false"/>
    </xf>
    <xf numFmtId="168" fontId="11" fillId="0" borderId="1" xfId="0" applyFont="true" applyBorder="tru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69" fontId="7" fillId="0" borderId="1" xfId="0" applyFont="true" applyBorder="true" applyAlignment="true" applyProtection="false">
      <alignment horizontal="general" vertical="bottom" textRotation="0" wrapText="false" indent="0" shrinkToFit="false"/>
      <protection locked="true" hidden="false"/>
    </xf>
    <xf numFmtId="173" fontId="11"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bottom" textRotation="0" wrapText="false" indent="0" shrinkToFit="false"/>
      <protection locked="true" hidden="false"/>
    </xf>
    <xf numFmtId="169" fontId="9" fillId="0" borderId="1" xfId="0" applyFont="tru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7"/>
    <col collapsed="false" customWidth="true" hidden="false" outlineLevel="0" max="3" min="2" style="1" width="17"/>
    <col collapsed="false" customWidth="true" hidden="false" outlineLevel="0" max="4" min="4" style="1" width="58"/>
  </cols>
  <sheetData>
    <row r="1" customFormat="false" ht="17.2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t="s">
        <v>2</v>
      </c>
    </row>
    <row r="5" customFormat="false" ht="15" hidden="false" customHeight="true" outlineLevel="0" collapsed="false">
      <c r="A5" s="4" t="s">
        <v>3</v>
      </c>
      <c r="B5" s="5"/>
      <c r="C5" s="5"/>
      <c r="D5" s="5"/>
    </row>
    <row r="6" customFormat="false" ht="15" hidden="false" customHeight="true" outlineLevel="0" collapsed="false">
      <c r="A6" s="6" t="s">
        <v>4</v>
      </c>
      <c r="B6" s="7" t="n">
        <v>10000</v>
      </c>
      <c r="D6" s="8" t="s">
        <v>5</v>
      </c>
    </row>
    <row r="7" customFormat="false" ht="15" hidden="false" customHeight="true" outlineLevel="0" collapsed="false">
      <c r="A7" s="6" t="s">
        <v>6</v>
      </c>
      <c r="B7" s="9" t="n">
        <v>1.5</v>
      </c>
      <c r="D7" s="8" t="s">
        <v>7</v>
      </c>
    </row>
    <row r="8" customFormat="false" ht="15" hidden="false" customHeight="true" outlineLevel="0" collapsed="false">
      <c r="A8" s="6" t="s">
        <v>8</v>
      </c>
      <c r="B8" s="10" t="n">
        <v>100000</v>
      </c>
      <c r="D8" s="8" t="s">
        <v>9</v>
      </c>
    </row>
    <row r="10" customFormat="false" ht="15" hidden="false" customHeight="true" outlineLevel="0" collapsed="false">
      <c r="A10" s="4" t="s">
        <v>10</v>
      </c>
      <c r="B10" s="5"/>
      <c r="C10" s="5"/>
      <c r="D10" s="5"/>
    </row>
    <row r="11" customFormat="false" ht="15" hidden="false" customHeight="true" outlineLevel="0" collapsed="false">
      <c r="A11" s="6" t="s">
        <v>11</v>
      </c>
      <c r="B11" s="11" t="s">
        <v>12</v>
      </c>
      <c r="D11" s="8" t="s">
        <v>13</v>
      </c>
    </row>
    <row r="12" customFormat="false" ht="15" hidden="false" customHeight="true" outlineLevel="0" collapsed="false">
      <c r="A12" s="6" t="s">
        <v>14</v>
      </c>
      <c r="B12" s="12" t="n">
        <f aca="false">INDEX('Switchboard Rates'!$B$3:$B$6,MATCH($B$11,'Switchboard Rates'!$A$3:$A$6,0))</f>
        <v>0.03</v>
      </c>
      <c r="D12" s="8" t="s">
        <v>15</v>
      </c>
    </row>
    <row r="13" customFormat="false" ht="15" hidden="false" customHeight="true" outlineLevel="0" collapsed="false">
      <c r="A13" s="6" t="s">
        <v>16</v>
      </c>
      <c r="B13" s="12" t="n">
        <f aca="false">'Switchboard Rates'!$B$3</f>
        <v>0.015</v>
      </c>
      <c r="D13" s="8" t="s">
        <v>17</v>
      </c>
    </row>
    <row r="14" customFormat="false" ht="15" hidden="false" customHeight="true" outlineLevel="0" collapsed="false">
      <c r="A14" s="6" t="s">
        <v>18</v>
      </c>
      <c r="B14" s="10" t="n">
        <v>3</v>
      </c>
      <c r="D14" s="8" t="s">
        <v>19</v>
      </c>
    </row>
    <row r="15" customFormat="false" ht="15" hidden="false" customHeight="true" outlineLevel="0" collapsed="false">
      <c r="A15" s="6" t="s">
        <v>20</v>
      </c>
      <c r="B15" s="13" t="n">
        <v>0</v>
      </c>
      <c r="D15" s="8" t="s">
        <v>21</v>
      </c>
    </row>
    <row r="17" customFormat="false" ht="15" hidden="false" customHeight="true" outlineLevel="0" collapsed="false">
      <c r="A17" s="4" t="s">
        <v>22</v>
      </c>
      <c r="B17" s="5"/>
      <c r="C17" s="5"/>
      <c r="D17" s="5"/>
    </row>
    <row r="18" customFormat="false" ht="15" hidden="false" customHeight="true" outlineLevel="0" collapsed="false">
      <c r="B18" s="14" t="s">
        <v>23</v>
      </c>
      <c r="C18" s="14" t="s">
        <v>24</v>
      </c>
    </row>
    <row r="19" customFormat="false" ht="15" hidden="false" customHeight="true" outlineLevel="0" collapsed="false">
      <c r="A19" s="15" t="s">
        <v>25</v>
      </c>
      <c r="B19" s="16" t="n">
        <v>0.93</v>
      </c>
      <c r="C19" s="16" t="n">
        <v>0.97</v>
      </c>
      <c r="D19" s="8" t="s">
        <v>26</v>
      </c>
    </row>
    <row r="20" customFormat="false" ht="15" hidden="false" customHeight="true" outlineLevel="0" collapsed="false">
      <c r="A20" s="15" t="s">
        <v>27</v>
      </c>
      <c r="B20" s="16" t="n">
        <v>0.04</v>
      </c>
      <c r="C20" s="16" t="n">
        <v>0.12</v>
      </c>
      <c r="D20" s="8" t="s">
        <v>28</v>
      </c>
    </row>
    <row r="21" customFormat="false" ht="21.75" hidden="false" customHeight="true" outlineLevel="0" collapsed="false">
      <c r="A21" s="15" t="s">
        <v>29</v>
      </c>
      <c r="B21" s="17" t="n">
        <v>0.001</v>
      </c>
      <c r="C21" s="17" t="n">
        <v>0.005</v>
      </c>
      <c r="D21" s="8" t="s">
        <v>30</v>
      </c>
    </row>
    <row r="22" customFormat="false" ht="15" hidden="false" customHeight="true" outlineLevel="0" collapsed="false">
      <c r="A22" s="15" t="s">
        <v>31</v>
      </c>
      <c r="B22" s="7" t="n">
        <v>25</v>
      </c>
      <c r="C22" s="7" t="n">
        <v>35</v>
      </c>
      <c r="D22" s="8" t="s">
        <v>32</v>
      </c>
    </row>
    <row r="23" customFormat="false" ht="15" hidden="false" customHeight="true" outlineLevel="0" collapsed="false">
      <c r="A23" s="15" t="s">
        <v>33</v>
      </c>
      <c r="B23" s="18" t="n">
        <v>1</v>
      </c>
      <c r="C23" s="18" t="n">
        <v>2</v>
      </c>
      <c r="D23" s="8" t="s">
        <v>34</v>
      </c>
    </row>
    <row r="24" customFormat="false" ht="15" hidden="false" customHeight="true" outlineLevel="0" collapsed="false">
      <c r="A24" s="15" t="s">
        <v>35</v>
      </c>
      <c r="B24" s="7" t="n">
        <v>25</v>
      </c>
      <c r="C24" s="7" t="n">
        <v>35</v>
      </c>
      <c r="D24" s="8" t="s">
        <v>36</v>
      </c>
    </row>
    <row r="26" customFormat="false" ht="15" hidden="false" customHeight="true" outlineLevel="0" collapsed="false">
      <c r="A26" s="4" t="s">
        <v>37</v>
      </c>
      <c r="B26" s="5"/>
      <c r="C26" s="5"/>
      <c r="D26" s="5"/>
    </row>
    <row r="27" customFormat="false" ht="15" hidden="false" customHeight="true" outlineLevel="0" collapsed="false">
      <c r="B27" s="14" t="s">
        <v>38</v>
      </c>
      <c r="C27" s="14" t="s">
        <v>39</v>
      </c>
    </row>
    <row r="28" customFormat="false" ht="15" hidden="false" customHeight="true" outlineLevel="0" collapsed="false">
      <c r="A28" s="15" t="s">
        <v>40</v>
      </c>
      <c r="B28" s="19" t="n">
        <f aca="false">$B$12+B19*B20*$B$14*$B$13+$B$15</f>
        <v>0.031674</v>
      </c>
      <c r="C28" s="19" t="n">
        <f aca="false">$B$12+C19*C20*$B$14*$B$13+$B$15</f>
        <v>0.035238</v>
      </c>
      <c r="D28" s="8" t="s">
        <v>41</v>
      </c>
    </row>
    <row r="29" customFormat="false" ht="15" hidden="false" customHeight="true" outlineLevel="0" collapsed="false">
      <c r="A29" s="15" t="s">
        <v>42</v>
      </c>
      <c r="B29" s="20" t="n">
        <f aca="false">IF(B28&gt;0,MIN($B$8,ROUNDDOWN($B$6/B28,0)),0)</f>
        <v>100000</v>
      </c>
      <c r="C29" s="20" t="n">
        <f aca="false">IF(C28&gt;0,MIN($B$8,ROUNDDOWN($B$6/C28,0)),0)</f>
        <v>100000</v>
      </c>
      <c r="D29" s="8" t="s">
        <v>43</v>
      </c>
    </row>
    <row r="30" customFormat="false" ht="15" hidden="false" customHeight="true" outlineLevel="0" collapsed="false">
      <c r="A30" s="15" t="s">
        <v>44</v>
      </c>
      <c r="B30" s="21" t="n">
        <f aca="false">B29*B28</f>
        <v>3167.4</v>
      </c>
      <c r="C30" s="21" t="n">
        <f aca="false">C29*C28</f>
        <v>3523.8</v>
      </c>
      <c r="D30" s="8" t="s">
        <v>45</v>
      </c>
    </row>
    <row r="31" customFormat="false" ht="15" hidden="false" customHeight="true" outlineLevel="0" collapsed="false">
      <c r="A31" s="15" t="s">
        <v>46</v>
      </c>
      <c r="B31" s="21" t="n">
        <f aca="false">$B$6-B30</f>
        <v>6832.6</v>
      </c>
      <c r="C31" s="21" t="n">
        <f aca="false">$B$6-C30</f>
        <v>6476.2</v>
      </c>
    </row>
    <row r="32" customFormat="false" ht="15" hidden="false" customHeight="true" outlineLevel="0" collapsed="false">
      <c r="A32" s="15" t="s">
        <v>47</v>
      </c>
      <c r="B32" s="20" t="n">
        <f aca="false">B29*B19</f>
        <v>93000</v>
      </c>
      <c r="C32" s="20" t="n">
        <f aca="false">C29*C19</f>
        <v>97000</v>
      </c>
    </row>
    <row r="33" customFormat="false" ht="15" hidden="false" customHeight="true" outlineLevel="0" collapsed="false">
      <c r="A33" s="15" t="s">
        <v>48</v>
      </c>
      <c r="B33" s="20" t="n">
        <f aca="false">B32*B20</f>
        <v>3720</v>
      </c>
      <c r="C33" s="20" t="n">
        <f aca="false">C32*C20</f>
        <v>11640</v>
      </c>
    </row>
    <row r="34" customFormat="false" ht="15" hidden="false" customHeight="true" outlineLevel="0" collapsed="false">
      <c r="A34" s="6" t="s">
        <v>49</v>
      </c>
      <c r="B34" s="22" t="n">
        <f aca="false">B32*B21</f>
        <v>93</v>
      </c>
      <c r="C34" s="22" t="n">
        <f aca="false">C32*C21</f>
        <v>485</v>
      </c>
    </row>
    <row r="35" customFormat="false" ht="15" hidden="false" customHeight="true" outlineLevel="0" collapsed="false">
      <c r="A35" s="6" t="s">
        <v>50</v>
      </c>
      <c r="B35" s="23" t="n">
        <f aca="false">IF(B34&gt;0,B30/B34,"n/a")</f>
        <v>34.058064516129</v>
      </c>
      <c r="C35" s="23" t="n">
        <f aca="false">IF(C34&gt;0,C30/C34,"n/a")</f>
        <v>7.26556701030928</v>
      </c>
      <c r="D35" s="8" t="s">
        <v>51</v>
      </c>
    </row>
    <row r="36" customFormat="false" ht="15" hidden="false" customHeight="true" outlineLevel="0" collapsed="false">
      <c r="A36" s="15" t="s">
        <v>52</v>
      </c>
      <c r="B36" s="21" t="n">
        <f aca="false">B34*B22</f>
        <v>2325</v>
      </c>
      <c r="C36" s="21" t="n">
        <f aca="false">C34*C22</f>
        <v>16975</v>
      </c>
    </row>
    <row r="37" customFormat="false" ht="15" hidden="false" customHeight="true" outlineLevel="0" collapsed="false">
      <c r="A37" s="15" t="s">
        <v>53</v>
      </c>
      <c r="B37" s="21" t="n">
        <f aca="false">B34*(B22+B23*B24)</f>
        <v>4650</v>
      </c>
      <c r="C37" s="21" t="n">
        <f aca="false">C34*(C22+C23*C24)</f>
        <v>50925</v>
      </c>
      <c r="D37" s="8" t="s">
        <v>54</v>
      </c>
    </row>
    <row r="38" customFormat="false" ht="15" hidden="false" customHeight="true" outlineLevel="0" collapsed="false">
      <c r="A38" s="6" t="s">
        <v>55</v>
      </c>
      <c r="B38" s="24" t="n">
        <f aca="false">IF(B30&gt;0,(B37-B30)/B30,0)</f>
        <v>0.468081075961356</v>
      </c>
      <c r="C38" s="24" t="n">
        <f aca="false">IF(C30&gt;0,(C37-C30)/C30,0)</f>
        <v>13.4517282479142</v>
      </c>
      <c r="D38" s="8" t="s">
        <v>56</v>
      </c>
    </row>
    <row r="39" customFormat="false" ht="15" hidden="false" customHeight="true" outlineLevel="0" collapsed="false">
      <c r="A39" s="15" t="s">
        <v>57</v>
      </c>
      <c r="B39" s="25" t="n">
        <f aca="false">IF(B30&gt;0,B37/B30,0)</f>
        <v>1.46808107596136</v>
      </c>
      <c r="C39" s="25" t="n">
        <f aca="false">IF(C30&gt;0,C37/C30,0)</f>
        <v>14.4517282479142</v>
      </c>
    </row>
    <row r="40" customFormat="false" ht="15" hidden="false" customHeight="true" outlineLevel="0" collapsed="false">
      <c r="A40" s="6" t="s">
        <v>58</v>
      </c>
      <c r="B40" s="26" t="str">
        <f aca="false">IF(B38&gt;=$B$7,"MEETS TARGET","BELOW TARGET")</f>
        <v>BELOW TARGET</v>
      </c>
      <c r="C40" s="26" t="str">
        <f aca="false">IF(C38&gt;=$B$7,"MEETS TARGET","BELOW TARGET")</f>
        <v>MEETS TARGET</v>
      </c>
      <c r="D40" s="8" t="s">
        <v>59</v>
      </c>
    </row>
    <row r="42" customFormat="false" ht="15" hidden="false" customHeight="true" outlineLevel="0" collapsed="false">
      <c r="A42" s="4" t="s">
        <v>60</v>
      </c>
      <c r="B42" s="5"/>
      <c r="C42" s="5"/>
      <c r="D42" s="5"/>
    </row>
    <row r="43" customFormat="false" ht="15" hidden="false" customHeight="true" outlineLevel="0" collapsed="false">
      <c r="A43" s="15" t="s">
        <v>61</v>
      </c>
      <c r="B43" s="21" t="n">
        <f aca="false">B22+B23*B24</f>
        <v>50</v>
      </c>
      <c r="C43" s="21" t="n">
        <f aca="false">C22+C23*C24</f>
        <v>105</v>
      </c>
      <c r="D43" s="8" t="s">
        <v>62</v>
      </c>
    </row>
    <row r="44" customFormat="false" ht="15" hidden="false" customHeight="true" outlineLevel="0" collapsed="false">
      <c r="A44" s="6" t="s">
        <v>63</v>
      </c>
      <c r="B44" s="23" t="n">
        <f aca="false">B43/(1+$B$7)</f>
        <v>20</v>
      </c>
      <c r="C44" s="23" t="n">
        <f aca="false">C43/(1+$B$7)</f>
        <v>42</v>
      </c>
      <c r="D44" s="8" t="s">
        <v>64</v>
      </c>
    </row>
    <row r="45" customFormat="false" ht="15" hidden="false" customHeight="true" outlineLevel="0" collapsed="false">
      <c r="A45" s="15" t="s">
        <v>65</v>
      </c>
      <c r="B45" s="20" t="n">
        <f aca="false">IF(B43&gt;0,(1+$B$7)*B30/B43,0)</f>
        <v>158.37</v>
      </c>
      <c r="C45" s="20" t="n">
        <f aca="false">IF(C43&gt;0,(1+$B$7)*C30/C43,0)</f>
        <v>83.9</v>
      </c>
      <c r="D45" s="8" t="s">
        <v>66</v>
      </c>
    </row>
    <row r="46" customFormat="false" ht="15" hidden="false" customHeight="true" outlineLevel="0" collapsed="false">
      <c r="A46" s="15" t="s">
        <v>67</v>
      </c>
      <c r="B46" s="27" t="n">
        <f aca="false">IF(B32&gt;0,B45/B32,0)</f>
        <v>0.00170290322580645</v>
      </c>
      <c r="C46" s="27" t="n">
        <f aca="false">IF(C32&gt;0,C45/C32,0)</f>
        <v>0.000864948453608248</v>
      </c>
      <c r="D46" s="8" t="s">
        <v>68</v>
      </c>
    </row>
    <row r="48" customFormat="false" ht="15" hidden="false" customHeight="true" outlineLevel="0" collapsed="false">
      <c r="A48" s="28" t="s">
        <v>69</v>
      </c>
      <c r="B48" s="28"/>
      <c r="C48" s="28"/>
      <c r="D48" s="28"/>
    </row>
    <row r="49" customFormat="false" ht="15" hidden="false" customHeight="true" outlineLevel="0" collapsed="false">
      <c r="A49" s="28"/>
      <c r="B49" s="28"/>
      <c r="C49" s="28"/>
      <c r="D49" s="28"/>
    </row>
    <row r="50" customFormat="false" ht="15" hidden="false" customHeight="true" outlineLevel="0" collapsed="false">
      <c r="A50" s="28"/>
      <c r="B50" s="28"/>
      <c r="C50" s="28"/>
      <c r="D50" s="28"/>
    </row>
    <row r="51" customFormat="false" ht="15" hidden="false" customHeight="true" outlineLevel="0" collapsed="false">
      <c r="A51" s="28"/>
      <c r="B51" s="28"/>
      <c r="C51" s="28"/>
      <c r="D51" s="28"/>
    </row>
  </sheetData>
  <mergeCells count="1">
    <mergeCell ref="A48:D51"/>
  </mergeCells>
  <conditionalFormatting sqref="B40:C40">
    <cfRule type="expression" priority="2" aboveAverage="0" equalAverage="0" bottom="0" percent="0" rank="0" text="" dxfId="0">
      <formula>B38&gt;=$B$7</formula>
    </cfRule>
    <cfRule type="expression" priority="3" aboveAverage="0" equalAverage="0" bottom="0" percent="0" rank="0" text="" dxfId="1">
      <formula>B38&lt;$B$7</formula>
    </cfRule>
  </conditionalFormatting>
  <dataValidations count="1">
    <dataValidation allowBlank="false" errorStyle="stop" operator="between" showDropDown="false" showErrorMessage="false" showInputMessage="false" sqref="B11" type="list">
      <formula1>'Switchboard Rates'!$A$3:$A$6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6"/>
    <col collapsed="false" customWidth="true" hidden="false" outlineLevel="0" max="2" min="2" style="1" width="18"/>
    <col collapsed="false" customWidth="true" hidden="false" outlineLevel="0" max="3" min="3" style="1" width="44"/>
  </cols>
  <sheetData>
    <row r="1" customFormat="false" ht="17.25" hidden="false" customHeight="true" outlineLevel="0" collapsed="false">
      <c r="A1" s="2" t="s">
        <v>70</v>
      </c>
    </row>
    <row r="2" customFormat="false" ht="23.25" hidden="false" customHeight="true" outlineLevel="0" collapsed="false">
      <c r="A2" s="29" t="s">
        <v>71</v>
      </c>
      <c r="B2" s="29" t="s">
        <v>72</v>
      </c>
      <c r="C2" s="29" t="s">
        <v>73</v>
      </c>
    </row>
    <row r="3" customFormat="false" ht="15" hidden="false" customHeight="true" outlineLevel="0" collapsed="false">
      <c r="A3" s="30" t="s">
        <v>74</v>
      </c>
      <c r="B3" s="31" t="n">
        <v>0.015</v>
      </c>
      <c r="C3" s="30" t="s">
        <v>75</v>
      </c>
    </row>
    <row r="4" customFormat="false" ht="15" hidden="false" customHeight="true" outlineLevel="0" collapsed="false">
      <c r="A4" s="30" t="s">
        <v>12</v>
      </c>
      <c r="B4" s="31" t="n">
        <v>0.03</v>
      </c>
      <c r="C4" s="30" t="s">
        <v>76</v>
      </c>
    </row>
    <row r="5" customFormat="false" ht="15" hidden="false" customHeight="true" outlineLevel="0" collapsed="false">
      <c r="A5" s="30" t="s">
        <v>77</v>
      </c>
      <c r="B5" s="31" t="n">
        <v>0.045</v>
      </c>
      <c r="C5" s="30" t="s">
        <v>78</v>
      </c>
    </row>
    <row r="6" customFormat="false" ht="15" hidden="false" customHeight="true" outlineLevel="0" collapsed="false">
      <c r="A6" s="30" t="s">
        <v>79</v>
      </c>
      <c r="B6" s="31" t="n">
        <v>0.03</v>
      </c>
      <c r="C6" s="30" t="s">
        <v>80</v>
      </c>
    </row>
    <row r="8" customFormat="false" ht="15" hidden="false" customHeight="true" outlineLevel="0" collapsed="false">
      <c r="A8" s="28" t="s">
        <v>81</v>
      </c>
      <c r="B8" s="28"/>
      <c r="C8" s="28"/>
    </row>
    <row r="9" customFormat="false" ht="15" hidden="false" customHeight="true" outlineLevel="0" collapsed="false">
      <c r="A9" s="28"/>
      <c r="B9" s="28"/>
      <c r="C9" s="28"/>
    </row>
    <row r="10" customFormat="false" ht="15" hidden="false" customHeight="true" outlineLevel="0" collapsed="false">
      <c r="A10" s="28"/>
      <c r="B10" s="28"/>
      <c r="C10" s="28"/>
    </row>
    <row r="11" customFormat="false" ht="15" hidden="false" customHeight="true" outlineLevel="0" collapsed="false">
      <c r="A11" s="28"/>
      <c r="B11" s="28"/>
      <c r="C11" s="28"/>
    </row>
    <row r="12" customFormat="false" ht="15" hidden="false" customHeight="true" outlineLevel="0" collapsed="false">
      <c r="A12" s="28"/>
      <c r="B12" s="28"/>
      <c r="C12" s="28"/>
    </row>
  </sheetData>
  <mergeCells count="1">
    <mergeCell ref="A8:C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
    <col collapsed="false" customWidth="true" hidden="false" outlineLevel="0" max="9" min="2" style="1" width="14"/>
    <col collapsed="false" customWidth="true" hidden="false" outlineLevel="0" max="10" min="10" style="1" width="17"/>
  </cols>
  <sheetData>
    <row r="1" customFormat="false" ht="17.25" hidden="false" customHeight="true" outlineLevel="0" collapsed="false">
      <c r="A1" s="2" t="s">
        <v>82</v>
      </c>
    </row>
    <row r="2" customFormat="false" ht="15" hidden="false" customHeight="true" outlineLevel="0" collapsed="false">
      <c r="A2" s="3" t="s">
        <v>83</v>
      </c>
    </row>
    <row r="4" customFormat="false" ht="15" hidden="false" customHeight="true" outlineLevel="0" collapsed="false">
      <c r="B4" s="32" t="s">
        <v>38</v>
      </c>
      <c r="C4" s="32"/>
      <c r="D4" s="32"/>
      <c r="E4" s="32"/>
      <c r="F4" s="32" t="s">
        <v>39</v>
      </c>
      <c r="G4" s="32"/>
      <c r="H4" s="32"/>
      <c r="I4" s="32"/>
    </row>
    <row r="5" customFormat="false" ht="15" hidden="false" customHeight="true" outlineLevel="0" collapsed="false">
      <c r="A5" s="33" t="s">
        <v>4</v>
      </c>
      <c r="B5" s="33" t="s">
        <v>84</v>
      </c>
      <c r="C5" s="33" t="s">
        <v>85</v>
      </c>
      <c r="D5" s="33" t="s">
        <v>86</v>
      </c>
      <c r="E5" s="33" t="s">
        <v>87</v>
      </c>
      <c r="F5" s="33" t="s">
        <v>84</v>
      </c>
      <c r="G5" s="33" t="s">
        <v>85</v>
      </c>
      <c r="H5" s="33" t="s">
        <v>86</v>
      </c>
      <c r="I5" s="33" t="s">
        <v>87</v>
      </c>
      <c r="J5" s="33" t="s">
        <v>88</v>
      </c>
    </row>
    <row r="6" customFormat="false" ht="15" hidden="false" customHeight="true" outlineLevel="0" collapsed="false">
      <c r="A6" s="34" t="n">
        <v>1000</v>
      </c>
      <c r="B6" s="35" t="n">
        <f aca="false">(IF(Estimator!$B$28&gt;0,MIN(Estimator!$B$8,ROUNDDOWN($A6/Estimator!$B$28,0)),0))*Estimator!$B$28</f>
        <v>999.979854</v>
      </c>
      <c r="C6" s="36" t="n">
        <f aca="false">(IF(Estimator!$B$28&gt;0,MIN(Estimator!$B$8,ROUNDDOWN($A6/Estimator!$B$28,0)),0))*Estimator!$B$19*Estimator!$B$21</f>
        <v>29.36103</v>
      </c>
      <c r="D6" s="37" t="n">
        <f aca="false">IF(C6&gt;0,B6/C6,"n/a")</f>
        <v>34.058064516129</v>
      </c>
      <c r="E6" s="38" t="n">
        <f aca="false">IF(B6&gt;0,(C6*Estimator!$B$43-B6)/B6,0)</f>
        <v>0.468081075961357</v>
      </c>
      <c r="F6" s="35" t="n">
        <f aca="false">(IF(Estimator!$C$28&gt;0,MIN(Estimator!$B$8,ROUNDDOWN($A6/Estimator!$C$28,0)),0))*Estimator!$C$28</f>
        <v>999.983964</v>
      </c>
      <c r="G6" s="36" t="n">
        <f aca="false">(IF(Estimator!$C$28&gt;0,MIN(Estimator!$B$8,ROUNDDOWN($A6/Estimator!$C$28,0)),0))*Estimator!$C$19*Estimator!$C$21</f>
        <v>137.6333</v>
      </c>
      <c r="H6" s="37" t="n">
        <f aca="false">IF(G6&gt;0,F6/G6,"n/a")</f>
        <v>7.26556701030928</v>
      </c>
      <c r="I6" s="38" t="n">
        <f aca="false">IF(F6&gt;0,(G6*Estimator!$C$43-F6)/F6,0)</f>
        <v>13.4517282479142</v>
      </c>
      <c r="J6" s="39" t="str">
        <f aca="false">IF(E6&gt;=Estimator!$B$7,"MEETS TARGET","BELOW TARGET")</f>
        <v>BELOW TARGET</v>
      </c>
    </row>
    <row r="7" customFormat="false" ht="15" hidden="false" customHeight="true" outlineLevel="0" collapsed="false">
      <c r="A7" s="34" t="n">
        <v>2500</v>
      </c>
      <c r="B7" s="35" t="n">
        <f aca="false">(IF(Estimator!$B$28&gt;0,MIN(Estimator!$B$8,ROUNDDOWN($A7/Estimator!$B$28,0)),0))*Estimator!$B$28</f>
        <v>2499.997146</v>
      </c>
      <c r="C7" s="36" t="n">
        <f aca="false">(IF(Estimator!$B$28&gt;0,MIN(Estimator!$B$8,ROUNDDOWN($A7/Estimator!$B$28,0)),0))*Estimator!$B$19*Estimator!$B$21</f>
        <v>73.40397</v>
      </c>
      <c r="D7" s="37" t="n">
        <f aca="false">IF(C7&gt;0,B7/C7,"n/a")</f>
        <v>34.058064516129</v>
      </c>
      <c r="E7" s="38" t="n">
        <f aca="false">IF(B7&gt;0,(C7*Estimator!$B$43-B7)/B7,0)</f>
        <v>0.468081075961356</v>
      </c>
      <c r="F7" s="35" t="n">
        <f aca="false">(IF(Estimator!$C$28&gt;0,MIN(Estimator!$B$8,ROUNDDOWN($A7/Estimator!$C$28,0)),0))*Estimator!$C$28</f>
        <v>2499.995148</v>
      </c>
      <c r="G7" s="36" t="n">
        <f aca="false">(IF(Estimator!$C$28&gt;0,MIN(Estimator!$B$8,ROUNDDOWN($A7/Estimator!$C$28,0)),0))*Estimator!$C$19*Estimator!$C$21</f>
        <v>344.0881</v>
      </c>
      <c r="H7" s="37" t="n">
        <f aca="false">IF(G7&gt;0,F7/G7,"n/a")</f>
        <v>7.26556701030928</v>
      </c>
      <c r="I7" s="38" t="n">
        <f aca="false">IF(F7&gt;0,(G7*Estimator!$C$43-F7)/F7,0)</f>
        <v>13.4517282479142</v>
      </c>
      <c r="J7" s="39" t="str">
        <f aca="false">IF(E7&gt;=Estimator!$B$7,"MEETS TARGET","BELOW TARGET")</f>
        <v>BELOW TARGET</v>
      </c>
    </row>
    <row r="8" customFormat="false" ht="15" hidden="false" customHeight="true" outlineLevel="0" collapsed="false">
      <c r="A8" s="34" t="n">
        <v>5000</v>
      </c>
      <c r="B8" s="35" t="n">
        <f aca="false">(IF(Estimator!$B$28&gt;0,MIN(Estimator!$B$8,ROUNDDOWN($A8/Estimator!$B$28,0)),0))*Estimator!$B$28</f>
        <v>3167.4</v>
      </c>
      <c r="C8" s="36" t="n">
        <f aca="false">(IF(Estimator!$B$28&gt;0,MIN(Estimator!$B$8,ROUNDDOWN($A8/Estimator!$B$28,0)),0))*Estimator!$B$19*Estimator!$B$21</f>
        <v>93</v>
      </c>
      <c r="D8" s="37" t="n">
        <f aca="false">IF(C8&gt;0,B8/C8,"n/a")</f>
        <v>34.058064516129</v>
      </c>
      <c r="E8" s="38" t="n">
        <f aca="false">IF(B8&gt;0,(C8*Estimator!$B$43-B8)/B8,0)</f>
        <v>0.468081075961356</v>
      </c>
      <c r="F8" s="35" t="n">
        <f aca="false">(IF(Estimator!$C$28&gt;0,MIN(Estimator!$B$8,ROUNDDOWN($A8/Estimator!$C$28,0)),0))*Estimator!$C$28</f>
        <v>3523.8</v>
      </c>
      <c r="G8" s="36" t="n">
        <f aca="false">(IF(Estimator!$C$28&gt;0,MIN(Estimator!$B$8,ROUNDDOWN($A8/Estimator!$C$28,0)),0))*Estimator!$C$19*Estimator!$C$21</f>
        <v>485</v>
      </c>
      <c r="H8" s="37" t="n">
        <f aca="false">IF(G8&gt;0,F8/G8,"n/a")</f>
        <v>7.26556701030928</v>
      </c>
      <c r="I8" s="38" t="n">
        <f aca="false">IF(F8&gt;0,(G8*Estimator!$C$43-F8)/F8,0)</f>
        <v>13.4517282479142</v>
      </c>
      <c r="J8" s="39" t="str">
        <f aca="false">IF(E8&gt;=Estimator!$B$7,"MEETS TARGET","BELOW TARGET")</f>
        <v>BELOW TARGET</v>
      </c>
    </row>
    <row r="9" customFormat="false" ht="15" hidden="false" customHeight="true" outlineLevel="0" collapsed="false">
      <c r="A9" s="34" t="n">
        <v>10000</v>
      </c>
      <c r="B9" s="35" t="n">
        <f aca="false">(IF(Estimator!$B$28&gt;0,MIN(Estimator!$B$8,ROUNDDOWN($A9/Estimator!$B$28,0)),0))*Estimator!$B$28</f>
        <v>3167.4</v>
      </c>
      <c r="C9" s="36" t="n">
        <f aca="false">(IF(Estimator!$B$28&gt;0,MIN(Estimator!$B$8,ROUNDDOWN($A9/Estimator!$B$28,0)),0))*Estimator!$B$19*Estimator!$B$21</f>
        <v>93</v>
      </c>
      <c r="D9" s="37" t="n">
        <f aca="false">IF(C9&gt;0,B9/C9,"n/a")</f>
        <v>34.058064516129</v>
      </c>
      <c r="E9" s="38" t="n">
        <f aca="false">IF(B9&gt;0,(C9*Estimator!$B$43-B9)/B9,0)</f>
        <v>0.468081075961356</v>
      </c>
      <c r="F9" s="35" t="n">
        <f aca="false">(IF(Estimator!$C$28&gt;0,MIN(Estimator!$B$8,ROUNDDOWN($A9/Estimator!$C$28,0)),0))*Estimator!$C$28</f>
        <v>3523.8</v>
      </c>
      <c r="G9" s="36" t="n">
        <f aca="false">(IF(Estimator!$C$28&gt;0,MIN(Estimator!$B$8,ROUNDDOWN($A9/Estimator!$C$28,0)),0))*Estimator!$C$19*Estimator!$C$21</f>
        <v>485</v>
      </c>
      <c r="H9" s="37" t="n">
        <f aca="false">IF(G9&gt;0,F9/G9,"n/a")</f>
        <v>7.26556701030928</v>
      </c>
      <c r="I9" s="38" t="n">
        <f aca="false">IF(F9&gt;0,(G9*Estimator!$C$43-F9)/F9,0)</f>
        <v>13.4517282479142</v>
      </c>
      <c r="J9" s="39" t="str">
        <f aca="false">IF(E9&gt;=Estimator!$B$7,"MEETS TARGET","BELOW TARGET")</f>
        <v>BELOW TARGET</v>
      </c>
    </row>
    <row r="10" customFormat="false" ht="15" hidden="false" customHeight="true" outlineLevel="0" collapsed="false">
      <c r="A10" s="34" t="n">
        <v>25000</v>
      </c>
      <c r="B10" s="35" t="n">
        <f aca="false">(IF(Estimator!$B$28&gt;0,MIN(Estimator!$B$8,ROUNDDOWN($A10/Estimator!$B$28,0)),0))*Estimator!$B$28</f>
        <v>3167.4</v>
      </c>
      <c r="C10" s="36" t="n">
        <f aca="false">(IF(Estimator!$B$28&gt;0,MIN(Estimator!$B$8,ROUNDDOWN($A10/Estimator!$B$28,0)),0))*Estimator!$B$19*Estimator!$B$21</f>
        <v>93</v>
      </c>
      <c r="D10" s="37" t="n">
        <f aca="false">IF(C10&gt;0,B10/C10,"n/a")</f>
        <v>34.058064516129</v>
      </c>
      <c r="E10" s="38" t="n">
        <f aca="false">IF(B10&gt;0,(C10*Estimator!$B$43-B10)/B10,0)</f>
        <v>0.468081075961356</v>
      </c>
      <c r="F10" s="35" t="n">
        <f aca="false">(IF(Estimator!$C$28&gt;0,MIN(Estimator!$B$8,ROUNDDOWN($A10/Estimator!$C$28,0)),0))*Estimator!$C$28</f>
        <v>3523.8</v>
      </c>
      <c r="G10" s="36" t="n">
        <f aca="false">(IF(Estimator!$C$28&gt;0,MIN(Estimator!$B$8,ROUNDDOWN($A10/Estimator!$C$28,0)),0))*Estimator!$C$19*Estimator!$C$21</f>
        <v>485</v>
      </c>
      <c r="H10" s="37" t="n">
        <f aca="false">IF(G10&gt;0,F10/G10,"n/a")</f>
        <v>7.26556701030928</v>
      </c>
      <c r="I10" s="38" t="n">
        <f aca="false">IF(F10&gt;0,(G10*Estimator!$C$43-F10)/F10,0)</f>
        <v>13.4517282479142</v>
      </c>
      <c r="J10" s="39" t="str">
        <f aca="false">IF(E10&gt;=Estimator!$B$7,"MEETS TARGET","BELOW TARGET")</f>
        <v>BELOW TARGET</v>
      </c>
    </row>
    <row r="11" customFormat="false" ht="15" hidden="false" customHeight="true" outlineLevel="0" collapsed="false">
      <c r="A11" s="34" t="n">
        <v>50000</v>
      </c>
      <c r="B11" s="35" t="n">
        <f aca="false">(IF(Estimator!$B$28&gt;0,MIN(Estimator!$B$8,ROUNDDOWN($A11/Estimator!$B$28,0)),0))*Estimator!$B$28</f>
        <v>3167.4</v>
      </c>
      <c r="C11" s="36" t="n">
        <f aca="false">(IF(Estimator!$B$28&gt;0,MIN(Estimator!$B$8,ROUNDDOWN($A11/Estimator!$B$28,0)),0))*Estimator!$B$19*Estimator!$B$21</f>
        <v>93</v>
      </c>
      <c r="D11" s="37" t="n">
        <f aca="false">IF(C11&gt;0,B11/C11,"n/a")</f>
        <v>34.058064516129</v>
      </c>
      <c r="E11" s="38" t="n">
        <f aca="false">IF(B11&gt;0,(C11*Estimator!$B$43-B11)/B11,0)</f>
        <v>0.468081075961356</v>
      </c>
      <c r="F11" s="35" t="n">
        <f aca="false">(IF(Estimator!$C$28&gt;0,MIN(Estimator!$B$8,ROUNDDOWN($A11/Estimator!$C$28,0)),0))*Estimator!$C$28</f>
        <v>3523.8</v>
      </c>
      <c r="G11" s="36" t="n">
        <f aca="false">(IF(Estimator!$C$28&gt;0,MIN(Estimator!$B$8,ROUNDDOWN($A11/Estimator!$C$28,0)),0))*Estimator!$C$19*Estimator!$C$21</f>
        <v>485</v>
      </c>
      <c r="H11" s="37" t="n">
        <f aca="false">IF(G11&gt;0,F11/G11,"n/a")</f>
        <v>7.26556701030928</v>
      </c>
      <c r="I11" s="38" t="n">
        <f aca="false">IF(F11&gt;0,(G11*Estimator!$C$43-F11)/F11,0)</f>
        <v>13.4517282479142</v>
      </c>
      <c r="J11" s="39" t="str">
        <f aca="false">IF(E11&gt;=Estimator!$B$7,"MEETS TARGET","BELOW TARGET")</f>
        <v>BELOW TARGET</v>
      </c>
    </row>
    <row r="13" customFormat="false" ht="15" hidden="false" customHeight="true" outlineLevel="0" collapsed="false">
      <c r="A13" s="28" t="s">
        <v>89</v>
      </c>
      <c r="B13" s="28"/>
      <c r="C13" s="28"/>
      <c r="D13" s="28"/>
      <c r="E13" s="28"/>
      <c r="F13" s="28"/>
      <c r="G13" s="28"/>
      <c r="H13" s="28"/>
      <c r="I13" s="28"/>
      <c r="J13" s="28"/>
    </row>
    <row r="14" customFormat="false" ht="15" hidden="false" customHeight="true" outlineLevel="0" collapsed="false">
      <c r="A14" s="28"/>
      <c r="B14" s="28"/>
      <c r="C14" s="28"/>
      <c r="D14" s="28"/>
      <c r="E14" s="28"/>
      <c r="F14" s="28"/>
      <c r="G14" s="28"/>
      <c r="H14" s="28"/>
      <c r="I14" s="28"/>
      <c r="J14" s="28"/>
    </row>
    <row r="15" customFormat="false" ht="15" hidden="false" customHeight="true" outlineLevel="0" collapsed="false">
      <c r="A15" s="28"/>
      <c r="B15" s="28"/>
      <c r="C15" s="28"/>
      <c r="D15" s="28"/>
      <c r="E15" s="28"/>
      <c r="F15" s="28"/>
      <c r="G15" s="28"/>
      <c r="H15" s="28"/>
      <c r="I15" s="28"/>
      <c r="J15" s="28"/>
    </row>
  </sheetData>
  <mergeCells count="3">
    <mergeCell ref="B4:E4"/>
    <mergeCell ref="F4:I4"/>
    <mergeCell ref="A13:J15"/>
  </mergeCells>
  <conditionalFormatting sqref="J6:J11">
    <cfRule type="expression" priority="2" aboveAverage="0" equalAverage="0" bottom="0" percent="0" rank="0" text="" dxfId="0">
      <formula>E6&gt;=Estimator!$B$7</formula>
    </cfRule>
    <cfRule type="expression" priority="3" aboveAverage="0" equalAverage="0" bottom="0" percent="0" rank="0" text="" dxfId="1">
      <formula>E6&lt;Estimator!$B$7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2026-07-23T19:08:11Z</dcterms:created>
  <dc:creator>openpyxl</dc:creator>
  <dc:description/>
  <dc:language>en-US</dc:language>
  <cp:lastModifiedBy/>
  <dcterms:modified xsi:type="dcterms:W3CDTF">2026-07-23T19:19:40Z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