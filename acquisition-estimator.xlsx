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imator" sheetId="1" state="visible" r:id="rId3"/>
    <sheet name="Platform Rates" sheetId="2" state="visible" r:id="rId4"/>
    <sheet name="Scenari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<sst xmlns="http://schemas.openxmlformats.org/spreadsheetml/2006/main" count="92" uniqueCount="91">
  <si>
    <t xml:space="preserve">Digital Acquisition Estimator - SMS Program</t>
  </si>
  <si>
    <t xml:space="preserve">Plug in your upfront investment (and adjust any yellow cell); results update automatically.</t>
  </si>
  <si>
    <t xml:space="preserve">Legend:  yellow + blue text = your inputs  |  black = calculated  |  green = pulled from the Platform Rates tab</t>
  </si>
  <si>
    <t xml:space="preserve">STEP 1 - YOUR INVESTMENT</t>
  </si>
  <si>
    <t xml:space="preserve">Upfront investment ($)</t>
  </si>
  <si>
    <t xml:space="preserve">Total budget for this program (example value - replace with yours)</t>
  </si>
  <si>
    <t xml:space="preserve">STEP 2 - TEXTING PLATFORM COSTS</t>
  </si>
  <si>
    <t xml:space="preserve">Texting platform</t>
  </si>
  <si>
    <t xml:space="preserve">Scale to Win Text</t>
  </si>
  <si>
    <t xml:space="preserve">Pick from the dropdown (rates on the Platform Rates tab)</t>
  </si>
  <si>
    <t xml:space="preserve">Cost per outbound segment ($)</t>
  </si>
  <si>
    <t xml:space="preserve">Pulled from Platform Rates tab for the platform chosen above</t>
  </si>
  <si>
    <t xml:space="preserve">Platform monthly fee ($/mo)</t>
  </si>
  <si>
    <t xml:space="preserve">Pulled from Platform Rates tab</t>
  </si>
  <si>
    <t xml:space="preserve">Program length (months)</t>
  </si>
  <si>
    <t xml:space="preserve">How many months of platform fees to budget</t>
  </si>
  <si>
    <t xml:space="preserve">One-time setup / 10DLC registration ($)</t>
  </si>
  <si>
    <t xml:space="preserve">Carrier registration + phone number fees (typically $50-$200)</t>
  </si>
  <si>
    <t xml:space="preserve">Segments per initial message</t>
  </si>
  <si>
    <t xml:space="preserve">1 segment = 160 characters; most scripts run 2 segments</t>
  </si>
  <si>
    <t xml:space="preserve">Avg follow-up segments per responder</t>
  </si>
  <si>
    <t xml:space="preserve">Back-and-forth conversation messages sent to people who reply</t>
  </si>
  <si>
    <t xml:space="preserve">STEP 3 - AUDIENCE &amp; FUNNEL ASSUMPTIONS</t>
  </si>
  <si>
    <t xml:space="preserve">List cost per contact ($)</t>
  </si>
  <si>
    <t xml:space="preserve">0 if texting your own list / voter file you already have; $0.02-$0.10 if renting</t>
  </si>
  <si>
    <t xml:space="preserve">Delivery rate</t>
  </si>
  <si>
    <t xml:space="preserve">Share of sends that reach a phone (assumption - typical 93-97%)</t>
  </si>
  <si>
    <t xml:space="preserve">Response rate (of delivered)</t>
  </si>
  <si>
    <t xml:space="preserve">Assumption - warm lists 5-15%, cold lists 1-5%</t>
  </si>
  <si>
    <t xml:space="preserve">Donor conversion rate (of delivered)</t>
  </si>
  <si>
    <t xml:space="preserve">Share of delivered texts producing a NEW donor. Assumption - cold SMS 0.05-0.3%, warm 0.3-1%</t>
  </si>
  <si>
    <t xml:space="preserve">Average initial donation ($)</t>
  </si>
  <si>
    <t xml:space="preserve">Assumption - small-dollar average; replace with your program's actual</t>
  </si>
  <si>
    <t xml:space="preserve">Additional gifts per donor (next 12 mo)</t>
  </si>
  <si>
    <t xml:space="preserve">Assumption - how many more times a new donor gives in a year</t>
  </si>
  <si>
    <t xml:space="preserve">Average repeat gift ($)</t>
  </si>
  <si>
    <t xml:space="preserve">Assumption - average size of those follow-up gifts</t>
  </si>
  <si>
    <t xml:space="preserve">RESULTS - PROGRAM COSTS</t>
  </si>
  <si>
    <t xml:space="preserve">Fixed platform costs</t>
  </si>
  <si>
    <t xml:space="preserve">Monthly fees x months + setup</t>
  </si>
  <si>
    <t xml:space="preserve">Budget left for messages</t>
  </si>
  <si>
    <t xml:space="preserve">Investment minus fixed costs</t>
  </si>
  <si>
    <t xml:space="preserve">Expected messaging cost per contact</t>
  </si>
  <si>
    <t xml:space="preserve">Initial message + expected follow-up cost (only responders get follow-ups)</t>
  </si>
  <si>
    <t xml:space="preserve">All-in cost per contact</t>
  </si>
  <si>
    <t xml:space="preserve">Messaging + list rental per contact</t>
  </si>
  <si>
    <t xml:space="preserve">Contacts you can text</t>
  </si>
  <si>
    <t xml:space="preserve">RESULTS - ACQUISITION</t>
  </si>
  <si>
    <t xml:space="preserve">Messages delivered</t>
  </si>
  <si>
    <t xml:space="preserve">Conversations started (replies)</t>
  </si>
  <si>
    <t xml:space="preserve">New donors acquired</t>
  </si>
  <si>
    <t xml:space="preserve">Cost per acquisition (per new donor)</t>
  </si>
  <si>
    <t xml:space="preserve">Total investment / new donors</t>
  </si>
  <si>
    <t xml:space="preserve">Cost per conversation</t>
  </si>
  <si>
    <t xml:space="preserve">Total investment / replies</t>
  </si>
  <si>
    <t xml:space="preserve">RESULTS - RETURN ON INVESTMENT</t>
  </si>
  <si>
    <t xml:space="preserve">Immediate revenue (first gifts)</t>
  </si>
  <si>
    <t xml:space="preserve">Projected 12-month revenue</t>
  </si>
  <si>
    <t xml:space="preserve">First gifts + expected repeat giving</t>
  </si>
  <si>
    <t xml:space="preserve">Immediate ROI</t>
  </si>
  <si>
    <t xml:space="preserve">Usually negative - acquisition pays back over time</t>
  </si>
  <si>
    <t xml:space="preserve">12-month ROI</t>
  </si>
  <si>
    <t xml:space="preserve">Revenue per $1 invested (12 mo)</t>
  </si>
  <si>
    <t xml:space="preserve">All yellow cells are assumptions, not guarantees - funnel rates vary widely by list quality, message, and timing. Platform rates are approximate published figures; confirm current pricing with the vendor. Example values shown are realistic industry ballparks for a warm-list program.</t>
  </si>
  <si>
    <t xml:space="preserve">Texting Platform Rate Card (approximate published rates - verify with vendor before budgeting)</t>
  </si>
  <si>
    <t xml:space="preserve">Platform</t>
  </si>
  <si>
    <t xml:space="preserve">Cost per Outbound Segment ($)</t>
  </si>
  <si>
    <t xml:space="preserve">Platform Monthly Fee ($/mo)</t>
  </si>
  <si>
    <t xml:space="preserve">Notes</t>
  </si>
  <si>
    <t xml:space="preserve">Pay-as-you-go P2P texting; inbound replies typically free. Approx. rate as of 2025 - confirm at scaletowin.com.</t>
  </si>
  <si>
    <t xml:space="preserve">ThruText (GetThru)</t>
  </si>
  <si>
    <t xml:space="preserve">P2P texting; pricing tiers with monthly minimums. Approx. rate as of 2025 - confirm at getthru.io.</t>
  </si>
  <si>
    <t xml:space="preserve">Spoke Rewired (self-hosted)</t>
  </si>
  <si>
    <t xml:space="preserve">Open-source; you pay carrier/Twilio costs per segment plus ~$25/mo hosting. Requires technical setup.</t>
  </si>
  <si>
    <t xml:space="preserve">RumbleUp</t>
  </si>
  <si>
    <t xml:space="preserve">Pay-as-you-go P2P; MMS costs more per message. Approx. rate as of 2025 - confirm at rumbleup.com.</t>
  </si>
  <si>
    <t xml:space="preserve">Tatango (broadcast SMS)</t>
  </si>
  <si>
    <t xml:space="preserve">Broadcast (10DLC/short code) platform for opted-in lists; monthly platform fee varies by volume.</t>
  </si>
  <si>
    <t xml:space="preserve">Custom (edit these cells)</t>
  </si>
  <si>
    <t xml:space="preserve">Enter your negotiated rates here and pick 'Custom (edit these cells)' on the Estimator tab.</t>
  </si>
  <si>
    <t xml:space="preserve">Rates are ballpark industry figures provided for planning only (blue = editable). A 'segment' is one 160-character SMS unit; a 2-3 sentence message is usually 2 segments. Carrier 10DLC registration adds a small one-time fee (entered on the Estimator tab).</t>
  </si>
  <si>
    <t xml:space="preserve">Investment Scenarios</t>
  </si>
  <si>
    <t xml:space="preserve">Same assumptions as the Estimator tab, at different investment levels. Blue investment amounts are editable; everything else recalculates.</t>
  </si>
  <si>
    <t xml:space="preserve">Upfront Investment ($)</t>
  </si>
  <si>
    <t xml:space="preserve">Budget for Messages ($)</t>
  </si>
  <si>
    <t xml:space="preserve">Contacts Texted</t>
  </si>
  <si>
    <t xml:space="preserve">New Donors</t>
  </si>
  <si>
    <t xml:space="preserve">Cost per Acquisition ($)</t>
  </si>
  <si>
    <t xml:space="preserve">12-mo Revenue ($)</t>
  </si>
  <si>
    <t xml:space="preserve">12-mo ROI</t>
  </si>
  <si>
    <t xml:space="preserve">Note: fixed platform costs (monthly fees + setup) are the same at every level, so smaller investments carry proportionally higher cost per acquisition.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</si>
</sst>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\$#,##0.0000;&quot;($&quot;#,##0.0000\);\-"/>
    <numFmt numFmtId="167" formatCode="#,##0;\(#,##0\);\-"/>
    <numFmt numFmtId="168" formatCode="0.0%;\(0.0%\);\-"/>
    <numFmt numFmtId="169" formatCode="0.00%;\(0.00%\);\-"/>
    <numFmt numFmtId="170" formatCode="#,##0.0;\(#,##0.0\);\-"/>
    <numFmt numFmtId="171" formatCode="\$#,##0.00;&quot;($&quot;#,##0.00\);\-"/>
    <numFmt numFmtId="172" formatCode="\$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5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4"/>
      <c r="C5" s="4"/>
    </row>
    <row r="6" customFormat="false" ht="15" hidden="false" customHeight="false" outlineLevel="0" collapsed="false">
      <c r="A6" s="5" t="s">
        <v>4</v>
      </c>
      <c r="B6" s="6" t="n">
        <v>10000</v>
      </c>
      <c r="C6" s="2" t="s">
        <v>5</v>
      </c>
    </row>
    <row r="8" customFormat="false" ht="15" hidden="false" customHeight="false" outlineLevel="0" collapsed="false">
      <c r="A8" s="3" t="s">
        <v>6</v>
      </c>
      <c r="B8" s="4"/>
      <c r="C8" s="4"/>
    </row>
    <row r="9" customFormat="false" ht="15" hidden="false" customHeight="false" outlineLevel="0" collapsed="false">
      <c r="A9" s="5" t="s">
        <v>7</v>
      </c>
      <c r="B9" s="7" t="s">
        <v>8</v>
      </c>
      <c r="C9" s="2" t="s">
        <v>9</v>
      </c>
    </row>
    <row r="10" customFormat="false" ht="15" hidden="false" customHeight="false" outlineLevel="0" collapsed="false">
      <c r="A10" s="5" t="s">
        <v>10</v>
      </c>
      <c r="B10" s="8" t="n">
        <f aca="false">INDEX('Platform Rates'!$B$3:$B$8,MATCH($B$9,'Platform Rates'!$A$3:$A$8,0))</f>
        <v>0.03</v>
      </c>
      <c r="C10" s="2" t="s">
        <v>11</v>
      </c>
    </row>
    <row r="11" customFormat="false" ht="15" hidden="false" customHeight="false" outlineLevel="0" collapsed="false">
      <c r="A11" s="5" t="s">
        <v>12</v>
      </c>
      <c r="B11" s="9" t="n">
        <f aca="false">INDEX('Platform Rates'!$C$3:$C$8,MATCH($B$9,'Platform Rates'!$A$3:$A$8,0))</f>
        <v>0</v>
      </c>
      <c r="C11" s="2" t="s">
        <v>13</v>
      </c>
    </row>
    <row r="12" customFormat="false" ht="15" hidden="false" customHeight="false" outlineLevel="0" collapsed="false">
      <c r="A12" s="5" t="s">
        <v>14</v>
      </c>
      <c r="B12" s="10" t="n">
        <v>3</v>
      </c>
      <c r="C12" s="2" t="s">
        <v>15</v>
      </c>
    </row>
    <row r="13" customFormat="false" ht="15" hidden="false" customHeight="false" outlineLevel="0" collapsed="false">
      <c r="A13" s="5" t="s">
        <v>16</v>
      </c>
      <c r="B13" s="6" t="n">
        <v>100</v>
      </c>
      <c r="C13" s="2" t="s">
        <v>17</v>
      </c>
    </row>
    <row r="14" customFormat="false" ht="15" hidden="false" customHeight="false" outlineLevel="0" collapsed="false">
      <c r="A14" s="5" t="s">
        <v>18</v>
      </c>
      <c r="B14" s="10" t="n">
        <v>2</v>
      </c>
      <c r="C14" s="2" t="s">
        <v>19</v>
      </c>
    </row>
    <row r="15" customFormat="false" ht="15" hidden="false" customHeight="false" outlineLevel="0" collapsed="false">
      <c r="A15" s="5" t="s">
        <v>20</v>
      </c>
      <c r="B15" s="10" t="n">
        <v>4</v>
      </c>
      <c r="C15" s="2" t="s">
        <v>21</v>
      </c>
    </row>
    <row r="17" customFormat="false" ht="15" hidden="false" customHeight="false" outlineLevel="0" collapsed="false">
      <c r="A17" s="3" t="s">
        <v>22</v>
      </c>
      <c r="B17" s="4"/>
      <c r="C17" s="4"/>
    </row>
    <row r="18" customFormat="false" ht="15" hidden="false" customHeight="false" outlineLevel="0" collapsed="false">
      <c r="A18" s="5" t="s">
        <v>23</v>
      </c>
      <c r="B18" s="11" t="n">
        <v>0</v>
      </c>
      <c r="C18" s="2" t="s">
        <v>24</v>
      </c>
    </row>
    <row r="19" customFormat="false" ht="15" hidden="false" customHeight="false" outlineLevel="0" collapsed="false">
      <c r="A19" s="5" t="s">
        <v>25</v>
      </c>
      <c r="B19" s="12" t="n">
        <v>0.95</v>
      </c>
      <c r="C19" s="2" t="s">
        <v>26</v>
      </c>
    </row>
    <row r="20" customFormat="false" ht="15" hidden="false" customHeight="false" outlineLevel="0" collapsed="false">
      <c r="A20" s="5" t="s">
        <v>27</v>
      </c>
      <c r="B20" s="12" t="n">
        <v>0.08</v>
      </c>
      <c r="C20" s="2" t="s">
        <v>28</v>
      </c>
    </row>
    <row r="21" customFormat="false" ht="15" hidden="false" customHeight="false" outlineLevel="0" collapsed="false">
      <c r="A21" s="5" t="s">
        <v>29</v>
      </c>
      <c r="B21" s="13" t="n">
        <v>0.0025</v>
      </c>
      <c r="C21" s="2" t="s">
        <v>30</v>
      </c>
    </row>
    <row r="22" customFormat="false" ht="15" hidden="false" customHeight="false" outlineLevel="0" collapsed="false">
      <c r="A22" s="5" t="s">
        <v>31</v>
      </c>
      <c r="B22" s="6" t="n">
        <v>27</v>
      </c>
      <c r="C22" s="2" t="s">
        <v>32</v>
      </c>
    </row>
    <row r="23" customFormat="false" ht="15" hidden="false" customHeight="false" outlineLevel="0" collapsed="false">
      <c r="A23" s="5" t="s">
        <v>33</v>
      </c>
      <c r="B23" s="14" t="n">
        <v>1.5</v>
      </c>
      <c r="C23" s="2" t="s">
        <v>34</v>
      </c>
    </row>
    <row r="24" customFormat="false" ht="15" hidden="false" customHeight="false" outlineLevel="0" collapsed="false">
      <c r="A24" s="5" t="s">
        <v>35</v>
      </c>
      <c r="B24" s="6" t="n">
        <v>30</v>
      </c>
      <c r="C24" s="2" t="s">
        <v>36</v>
      </c>
    </row>
    <row r="26" customFormat="false" ht="15" hidden="false" customHeight="false" outlineLevel="0" collapsed="false">
      <c r="A26" s="3" t="s">
        <v>37</v>
      </c>
      <c r="B26" s="4"/>
      <c r="C26" s="4"/>
    </row>
    <row r="27" customFormat="false" ht="15" hidden="false" customHeight="false" outlineLevel="0" collapsed="false">
      <c r="A27" s="15" t="s">
        <v>38</v>
      </c>
      <c r="B27" s="16" t="n">
        <f aca="false">$B$11*$B$12+$B$13</f>
        <v>100</v>
      </c>
      <c r="C27" s="2" t="s">
        <v>39</v>
      </c>
    </row>
    <row r="28" customFormat="false" ht="15" hidden="false" customHeight="false" outlineLevel="0" collapsed="false">
      <c r="A28" s="15" t="s">
        <v>40</v>
      </c>
      <c r="B28" s="16" t="n">
        <f aca="false">MAX(0,$B$6-$B$27)</f>
        <v>9900</v>
      </c>
      <c r="C28" s="2" t="s">
        <v>41</v>
      </c>
    </row>
    <row r="29" customFormat="false" ht="15" hidden="false" customHeight="false" outlineLevel="0" collapsed="false">
      <c r="A29" s="15" t="s">
        <v>42</v>
      </c>
      <c r="B29" s="17" t="n">
        <f aca="false">$B$14*$B$10+$B$19*$B$20*$B$15*$B$10</f>
        <v>0.06912</v>
      </c>
      <c r="C29" s="2" t="s">
        <v>43</v>
      </c>
    </row>
    <row r="30" customFormat="false" ht="15" hidden="false" customHeight="false" outlineLevel="0" collapsed="false">
      <c r="A30" s="15" t="s">
        <v>44</v>
      </c>
      <c r="B30" s="17" t="n">
        <f aca="false">$B$29+$B$18</f>
        <v>0.06912</v>
      </c>
      <c r="C30" s="2" t="s">
        <v>45</v>
      </c>
    </row>
    <row r="31" customFormat="false" ht="15" hidden="false" customHeight="false" outlineLevel="0" collapsed="false">
      <c r="A31" s="15" t="s">
        <v>46</v>
      </c>
      <c r="B31" s="18" t="n">
        <f aca="false">IF($B$30&gt;0,ROUNDDOWN($B$28/$B$30,0),0)</f>
        <v>143229</v>
      </c>
    </row>
    <row r="33" customFormat="false" ht="15" hidden="false" customHeight="false" outlineLevel="0" collapsed="false">
      <c r="A33" s="3" t="s">
        <v>47</v>
      </c>
      <c r="B33" s="4"/>
      <c r="C33" s="4"/>
    </row>
    <row r="34" customFormat="false" ht="15" hidden="false" customHeight="false" outlineLevel="0" collapsed="false">
      <c r="A34" s="15" t="s">
        <v>48</v>
      </c>
      <c r="B34" s="19" t="n">
        <f aca="false">$B$31*$B$19</f>
        <v>136067.55</v>
      </c>
    </row>
    <row r="35" customFormat="false" ht="15" hidden="false" customHeight="false" outlineLevel="0" collapsed="false">
      <c r="A35" s="15" t="s">
        <v>49</v>
      </c>
      <c r="B35" s="19" t="n">
        <f aca="false">$B$34*$B$20</f>
        <v>10885.404</v>
      </c>
    </row>
    <row r="36" customFormat="false" ht="15" hidden="false" customHeight="false" outlineLevel="0" collapsed="false">
      <c r="A36" s="15" t="s">
        <v>50</v>
      </c>
      <c r="B36" s="18" t="n">
        <f aca="false">$B$34*$B$21</f>
        <v>340.168875</v>
      </c>
    </row>
    <row r="37" customFormat="false" ht="15" hidden="false" customHeight="false" outlineLevel="0" collapsed="false">
      <c r="A37" s="15" t="s">
        <v>51</v>
      </c>
      <c r="B37" s="20" t="n">
        <f aca="false">IF($B$36&gt;0,$B$6/$B$36,"n/a")</f>
        <v>29.3971633942112</v>
      </c>
      <c r="C37" s="2" t="s">
        <v>52</v>
      </c>
    </row>
    <row r="38" customFormat="false" ht="15" hidden="false" customHeight="false" outlineLevel="0" collapsed="false">
      <c r="A38" s="15" t="s">
        <v>53</v>
      </c>
      <c r="B38" s="21" t="n">
        <f aca="false">IF($B$35&gt;0,$B$6/$B$35,"n/a")</f>
        <v>0.9186613560691</v>
      </c>
      <c r="C38" s="2" t="s">
        <v>54</v>
      </c>
    </row>
    <row r="40" customFormat="false" ht="15" hidden="false" customHeight="false" outlineLevel="0" collapsed="false">
      <c r="A40" s="3" t="s">
        <v>55</v>
      </c>
      <c r="B40" s="4"/>
      <c r="C40" s="4"/>
    </row>
    <row r="41" customFormat="false" ht="15" hidden="false" customHeight="false" outlineLevel="0" collapsed="false">
      <c r="A41" s="15" t="s">
        <v>56</v>
      </c>
      <c r="B41" s="16" t="n">
        <f aca="false">$B$36*$B$22</f>
        <v>9184.559625</v>
      </c>
    </row>
    <row r="42" customFormat="false" ht="15" hidden="false" customHeight="false" outlineLevel="0" collapsed="false">
      <c r="A42" s="15" t="s">
        <v>57</v>
      </c>
      <c r="B42" s="16" t="n">
        <f aca="false">$B$36*($B$22+$B$23*$B$24)</f>
        <v>24492.159</v>
      </c>
      <c r="C42" s="2" t="s">
        <v>58</v>
      </c>
    </row>
    <row r="43" customFormat="false" ht="15" hidden="false" customHeight="false" outlineLevel="0" collapsed="false">
      <c r="A43" s="15" t="s">
        <v>59</v>
      </c>
      <c r="B43" s="22" t="n">
        <f aca="false">IF($B$6&gt;0,($B$41-$B$6)/$B$6,0)</f>
        <v>-0.0815440375000002</v>
      </c>
      <c r="C43" s="2" t="s">
        <v>60</v>
      </c>
    </row>
    <row r="44" customFormat="false" ht="15" hidden="false" customHeight="false" outlineLevel="0" collapsed="false">
      <c r="A44" s="15" t="s">
        <v>61</v>
      </c>
      <c r="B44" s="23" t="n">
        <f aca="false">IF($B$6&gt;0,($B$42-$B$6)/$B$6,0)</f>
        <v>1.4492159</v>
      </c>
    </row>
    <row r="45" customFormat="false" ht="15" hidden="false" customHeight="false" outlineLevel="0" collapsed="false">
      <c r="A45" s="15" t="s">
        <v>62</v>
      </c>
      <c r="B45" s="24" t="n">
        <f aca="false">IF($B$6&gt;0,$B$42/$B$6,0)</f>
        <v>2.4492159</v>
      </c>
    </row>
    <row r="47" customFormat="false" ht="15" hidden="false" customHeight="true" outlineLevel="0" collapsed="false">
      <c r="A47" s="25" t="s">
        <v>63</v>
      </c>
      <c r="B47" s="25"/>
      <c r="C47" s="25"/>
    </row>
    <row r="48" customFormat="false" ht="15" hidden="false" customHeight="false" outlineLevel="0" collapsed="false">
      <c r="A48" s="25"/>
      <c r="B48" s="25"/>
      <c r="C48" s="25"/>
    </row>
    <row r="49" customFormat="false" ht="15" hidden="false" customHeight="false" outlineLevel="0" collapsed="false">
      <c r="A49" s="25"/>
      <c r="B49" s="25"/>
      <c r="C49" s="25"/>
    </row>
  </sheetData>
  <mergeCells count="1">
    <mergeCell ref="A47:C49"/>
  </mergeCells>
  <dataValidations count="1">
    <dataValidation allowBlank="false" errorStyle="stop" operator="between" showDropDown="false" showErrorMessage="false" showInputMessage="false" sqref="B9" type="list">
      <formula1>'Platform Rates'!$A$3:$A$8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64</v>
      </c>
    </row>
    <row r="2" customFormat="false" ht="23.85" hidden="false" customHeight="false" outlineLevel="0" collapsed="false">
      <c r="A2" s="26" t="s">
        <v>65</v>
      </c>
      <c r="B2" s="26" t="s">
        <v>66</v>
      </c>
      <c r="C2" s="26" t="s">
        <v>67</v>
      </c>
      <c r="D2" s="26" t="s">
        <v>68</v>
      </c>
    </row>
    <row r="3" customFormat="false" ht="23.85" hidden="false" customHeight="false" outlineLevel="0" collapsed="false">
      <c r="A3" s="27" t="s">
        <v>8</v>
      </c>
      <c r="B3" s="28" t="n">
        <v>0.03</v>
      </c>
      <c r="C3" s="29" t="n">
        <v>0</v>
      </c>
      <c r="D3" s="27" t="s">
        <v>69</v>
      </c>
    </row>
    <row r="4" customFormat="false" ht="15" hidden="false" customHeight="false" outlineLevel="0" collapsed="false">
      <c r="A4" s="27" t="s">
        <v>70</v>
      </c>
      <c r="B4" s="28" t="n">
        <v>0.035</v>
      </c>
      <c r="C4" s="29" t="n">
        <v>250</v>
      </c>
      <c r="D4" s="27" t="s">
        <v>71</v>
      </c>
    </row>
    <row r="5" customFormat="false" ht="15" hidden="false" customHeight="false" outlineLevel="0" collapsed="false">
      <c r="A5" s="27" t="s">
        <v>72</v>
      </c>
      <c r="B5" s="28" t="n">
        <v>0.01</v>
      </c>
      <c r="C5" s="29" t="n">
        <v>25</v>
      </c>
      <c r="D5" s="27" t="s">
        <v>73</v>
      </c>
    </row>
    <row r="6" customFormat="false" ht="15" hidden="false" customHeight="false" outlineLevel="0" collapsed="false">
      <c r="A6" s="27" t="s">
        <v>74</v>
      </c>
      <c r="B6" s="28" t="n">
        <v>0.04</v>
      </c>
      <c r="C6" s="29" t="n">
        <v>0</v>
      </c>
      <c r="D6" s="27" t="s">
        <v>75</v>
      </c>
    </row>
    <row r="7" customFormat="false" ht="15" hidden="false" customHeight="false" outlineLevel="0" collapsed="false">
      <c r="A7" s="27" t="s">
        <v>76</v>
      </c>
      <c r="B7" s="28" t="n">
        <v>0.025</v>
      </c>
      <c r="C7" s="29" t="n">
        <v>500</v>
      </c>
      <c r="D7" s="27" t="s">
        <v>77</v>
      </c>
    </row>
    <row r="8" customFormat="false" ht="15" hidden="false" customHeight="false" outlineLevel="0" collapsed="false">
      <c r="A8" s="27" t="s">
        <v>78</v>
      </c>
      <c r="B8" s="28" t="n">
        <v>0.03</v>
      </c>
      <c r="C8" s="29" t="n">
        <v>0</v>
      </c>
      <c r="D8" s="27" t="s">
        <v>79</v>
      </c>
    </row>
    <row r="10" customFormat="false" ht="15" hidden="false" customHeight="true" outlineLevel="0" collapsed="false">
      <c r="A10" s="25" t="s">
        <v>80</v>
      </c>
      <c r="B10" s="25"/>
      <c r="C10" s="25"/>
      <c r="D10" s="25"/>
    </row>
    <row r="11" customFormat="false" ht="15" hidden="false" customHeight="false" outlineLevel="0" collapsed="false">
      <c r="A11" s="25"/>
      <c r="B11" s="25"/>
      <c r="C11" s="25"/>
      <c r="D11" s="25"/>
    </row>
  </sheetData>
  <mergeCells count="1">
    <mergeCell ref="A10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17"/>
  </cols>
  <sheetData>
    <row r="1" customFormat="false" ht="17.35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4" customFormat="false" ht="15" hidden="false" customHeight="false" outlineLevel="0" collapsed="false">
      <c r="A4" s="30" t="s">
        <v>83</v>
      </c>
      <c r="B4" s="30" t="s">
        <v>84</v>
      </c>
      <c r="C4" s="30" t="s">
        <v>85</v>
      </c>
      <c r="D4" s="30" t="s">
        <v>86</v>
      </c>
      <c r="E4" s="30" t="s">
        <v>87</v>
      </c>
      <c r="F4" s="30" t="s">
        <v>88</v>
      </c>
      <c r="G4" s="30" t="s">
        <v>89</v>
      </c>
    </row>
    <row r="5" customFormat="false" ht="15" hidden="false" customHeight="false" outlineLevel="0" collapsed="false">
      <c r="A5" s="31" t="n">
        <v>2500</v>
      </c>
      <c r="B5" s="9" t="n">
        <f aca="false">MAX(0,$A5-Estimator!$B$27)</f>
        <v>2400</v>
      </c>
      <c r="C5" s="32" t="n">
        <f aca="false">IF(Estimator!$B$30&gt;0,ROUNDDOWN(B5/Estimator!$B$30,0),0)</f>
        <v>34722</v>
      </c>
      <c r="D5" s="32" t="n">
        <f aca="false">C5*Estimator!$B$19*Estimator!$B$21</f>
        <v>82.46475</v>
      </c>
      <c r="E5" s="33" t="n">
        <f aca="false">IF(D5&gt;0,$A5/D5,"n/a")</f>
        <v>30.3159834959786</v>
      </c>
      <c r="F5" s="9" t="n">
        <f aca="false">D5*(Estimator!$B$22+Estimator!$B$23*Estimator!$B$24)</f>
        <v>5937.462</v>
      </c>
      <c r="G5" s="34" t="n">
        <f aca="false">IF($A5&gt;0,(F5-$A5)/$A5,0)</f>
        <v>1.3749848</v>
      </c>
    </row>
    <row r="6" customFormat="false" ht="15" hidden="false" customHeight="false" outlineLevel="0" collapsed="false">
      <c r="A6" s="31" t="n">
        <v>5000</v>
      </c>
      <c r="B6" s="9" t="n">
        <f aca="false">MAX(0,$A6-Estimator!$B$27)</f>
        <v>4900</v>
      </c>
      <c r="C6" s="32" t="n">
        <f aca="false">IF(Estimator!$B$30&gt;0,ROUNDDOWN(B6/Estimator!$B$30,0),0)</f>
        <v>70891</v>
      </c>
      <c r="D6" s="32" t="n">
        <f aca="false">C6*Estimator!$B$19*Estimator!$B$21</f>
        <v>168.366125</v>
      </c>
      <c r="E6" s="33" t="n">
        <f aca="false">IF(D6&gt;0,$A6/D6,"n/a")</f>
        <v>29.6971852265413</v>
      </c>
      <c r="F6" s="9" t="n">
        <f aca="false">D6*(Estimator!$B$22+Estimator!$B$23*Estimator!$B$24)</f>
        <v>12122.361</v>
      </c>
      <c r="G6" s="34" t="n">
        <f aca="false">IF($A6&gt;0,(F6-$A6)/$A6,0)</f>
        <v>1.4244722</v>
      </c>
    </row>
    <row r="7" customFormat="false" ht="15" hidden="false" customHeight="false" outlineLevel="0" collapsed="false">
      <c r="A7" s="31" t="n">
        <v>10000</v>
      </c>
      <c r="B7" s="9" t="n">
        <f aca="false">MAX(0,$A7-Estimator!$B$27)</f>
        <v>9900</v>
      </c>
      <c r="C7" s="32" t="n">
        <f aca="false">IF(Estimator!$B$30&gt;0,ROUNDDOWN(B7/Estimator!$B$30,0),0)</f>
        <v>143229</v>
      </c>
      <c r="D7" s="32" t="n">
        <f aca="false">C7*Estimator!$B$19*Estimator!$B$21</f>
        <v>340.168875</v>
      </c>
      <c r="E7" s="33" t="n">
        <f aca="false">IF(D7&gt;0,$A7/D7,"n/a")</f>
        <v>29.3971633942112</v>
      </c>
      <c r="F7" s="9" t="n">
        <f aca="false">D7*(Estimator!$B$22+Estimator!$B$23*Estimator!$B$24)</f>
        <v>24492.159</v>
      </c>
      <c r="G7" s="34" t="n">
        <f aca="false">IF($A7&gt;0,(F7-$A7)/$A7,0)</f>
        <v>1.4492159</v>
      </c>
    </row>
    <row r="8" customFormat="false" ht="15" hidden="false" customHeight="false" outlineLevel="0" collapsed="false">
      <c r="A8" s="31" t="n">
        <v>25000</v>
      </c>
      <c r="B8" s="9" t="n">
        <f aca="false">MAX(0,$A8-Estimator!$B$27)</f>
        <v>24900</v>
      </c>
      <c r="C8" s="32" t="n">
        <f aca="false">IF(Estimator!$B$30&gt;0,ROUNDDOWN(B8/Estimator!$B$30,0),0)</f>
        <v>360243</v>
      </c>
      <c r="D8" s="32" t="n">
        <f aca="false">C8*Estimator!$B$19*Estimator!$B$21</f>
        <v>855.577125</v>
      </c>
      <c r="E8" s="33" t="n">
        <f aca="false">IF(D8&gt;0,$A8/D8,"n/a")</f>
        <v>29.220042553148</v>
      </c>
      <c r="F8" s="9" t="n">
        <f aca="false">D8*(Estimator!$B$22+Estimator!$B$23*Estimator!$B$24)</f>
        <v>61601.553</v>
      </c>
      <c r="G8" s="34" t="n">
        <f aca="false">IF($A8&gt;0,(F8-$A8)/$A8,0)</f>
        <v>1.46406212</v>
      </c>
    </row>
    <row r="9" customFormat="false" ht="15" hidden="false" customHeight="false" outlineLevel="0" collapsed="false">
      <c r="A9" s="31" t="n">
        <v>50000</v>
      </c>
      <c r="B9" s="9" t="n">
        <f aca="false">MAX(0,$A9-Estimator!$B$27)</f>
        <v>49900</v>
      </c>
      <c r="C9" s="32" t="n">
        <f aca="false">IF(Estimator!$B$30&gt;0,ROUNDDOWN(B9/Estimator!$B$30,0),0)</f>
        <v>721932</v>
      </c>
      <c r="D9" s="32" t="n">
        <f aca="false">C9*Estimator!$B$19*Estimator!$B$21</f>
        <v>1714.5885</v>
      </c>
      <c r="E9" s="33" t="n">
        <f aca="false">IF(D9&gt;0,$A9/D9,"n/a")</f>
        <v>29.1615160139007</v>
      </c>
      <c r="F9" s="9" t="n">
        <f aca="false">D9*(Estimator!$B$22+Estimator!$B$23*Estimator!$B$24)</f>
        <v>123450.372</v>
      </c>
      <c r="G9" s="34" t="n">
        <f aca="false">IF($A9&gt;0,(F9-$A9)/$A9,0)</f>
        <v>1.46900744</v>
      </c>
    </row>
    <row r="10" customFormat="false" ht="15" hidden="false" customHeight="false" outlineLevel="0" collapsed="false">
      <c r="A10" s="31" t="n">
        <v>100000</v>
      </c>
      <c r="B10" s="9" t="n">
        <f aca="false">MAX(0,$A10-Estimator!$B$27)</f>
        <v>99900</v>
      </c>
      <c r="C10" s="32" t="n">
        <f aca="false">IF(Estimator!$B$30&gt;0,ROUNDDOWN(B10/Estimator!$B$30,0),0)</f>
        <v>1445312</v>
      </c>
      <c r="D10" s="32" t="n">
        <f aca="false">C10*Estimator!$B$19*Estimator!$B$21</f>
        <v>3432.616</v>
      </c>
      <c r="E10" s="33" t="n">
        <f aca="false">IF(D10&gt;0,$A10/D10,"n/a")</f>
        <v>29.1323002631229</v>
      </c>
      <c r="F10" s="9" t="n">
        <f aca="false">D10*(Estimator!$B$22+Estimator!$B$23*Estimator!$B$24)</f>
        <v>247148.352</v>
      </c>
      <c r="G10" s="34" t="n">
        <f aca="false">IF($A10&gt;0,(F10-$A10)/$A10,0)</f>
        <v>1.47148352</v>
      </c>
    </row>
    <row r="12" customFormat="false" ht="15" hidden="false" customHeight="true" outlineLevel="0" collapsed="false">
      <c r="A12" s="25" t="s">
        <v>90</v>
      </c>
      <c r="B12" s="25"/>
      <c r="C12" s="25"/>
      <c r="D12" s="25"/>
      <c r="E12" s="25"/>
      <c r="F12" s="25"/>
      <c r="G12" s="25"/>
    </row>
    <row r="13" customFormat="false" ht="15" hidden="false" customHeight="false" outlineLevel="0" collapsed="false">
      <c r="A13" s="25"/>
      <c r="B13" s="25"/>
      <c r="C13" s="25"/>
      <c r="D13" s="25"/>
      <c r="E13" s="25"/>
      <c r="F13" s="25"/>
      <c r="G13" s="25"/>
    </row>
  </sheetData>
  <mergeCells count="1">
    <mergeCell ref="A12:G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2026-07-23T18:46:22Z</dcterms:created>
  <dc:creator>openpyxl</dc:creator>
  <dc:description/>
  <dc:language>en-US</dc:language>
  <cp:lastModifiedBy/>
  <dcterms:modified xsi:type="dcterms:W3CDTF">2026-07-23T18:46:22Z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