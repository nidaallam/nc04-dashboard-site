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stimator" sheetId="1" state="visible" r:id="rId3"/>
    <sheet name="Switchboard Rates" sheetId="2" state="visible" r:id="rId4"/>
    <sheet name="Actuals Tracker" sheetId="3" state="visible" r:id="rId5"/>
    <sheet name="Scenari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<sst xmlns="http://schemas.openxmlformats.org/spreadsheetml/2006/main" count="128" uniqueCount="117">
  <si>
    <t xml:space="preserve">Digital Acquisition Estimator - Switchboard SMS Cold Acquisition</t>
  </si>
  <si>
    <t xml:space="preserve">Enter your budget; the sheet returns minimum and high projections (net of fees, through election day) against your ROI floor.</t>
  </si>
  <si>
    <t xml:space="preserve">Legend:  yellow + blue text = your inputs  |  black = calculated  |  green = pulled from another tab</t>
  </si>
  <si>
    <t xml:space="preserve">STEP 1 - BUDGET, ROI FLOOR &amp; AUDIENCE</t>
  </si>
  <si>
    <t xml:space="preserve">Budget ($)</t>
  </si>
  <si>
    <t xml:space="preserve">Total you plan to invest (example value - replace with yours)</t>
  </si>
  <si>
    <t xml:space="preserve">Minimum ROI target</t>
  </si>
  <si>
    <t xml:space="preserve">150% ROI = every $1 spent must come back as $2.50 net by election day</t>
  </si>
  <si>
    <t xml:space="preserve">Cold contacts available to text</t>
  </si>
  <si>
    <t xml:space="preserve">Size of your textable cold list - you can't text more people than you have numbers for</t>
  </si>
  <si>
    <t xml:space="preserve">Months remaining until election day</t>
  </si>
  <si>
    <t xml:space="preserve">Through Nov 3, 2026 - update as the cycle progresses; repeat giving stops at election day</t>
  </si>
  <si>
    <t xml:space="preserve">STEP 2 - SWITCHBOARD TEXTING COSTS</t>
  </si>
  <si>
    <t xml:space="preserve">Initial message type</t>
  </si>
  <si>
    <t xml:space="preserve">SMS - 2 segments (161-320 chars)</t>
  </si>
  <si>
    <t xml:space="preserve">Pick from the dropdown - rates on the Switchboard Rates tab</t>
  </si>
  <si>
    <t xml:space="preserve">Cost per initial message ($)</t>
  </si>
  <si>
    <t xml:space="preserve">Pulled from Switchboard Rates for the type chosen above</t>
  </si>
  <si>
    <t xml:space="preserve">Cost per follow-up message ($)</t>
  </si>
  <si>
    <t xml:space="preserve">Follow-ups costed as 1-segment SMS; edit on the Switchboard Rates tab</t>
  </si>
  <si>
    <t xml:space="preserve">Avg follow-up messages per responder</t>
  </si>
  <si>
    <t xml:space="preserve">Conversation messages sent only to people who reply (inbound is free)</t>
  </si>
  <si>
    <t xml:space="preserve">List rental cost per contact ($)</t>
  </si>
  <si>
    <t xml:space="preserve">0 if texting numbers you already have; $0.02-$0.10 if renting/matching</t>
  </si>
  <si>
    <t xml:space="preserve">STEP 3 - PROCESSING FEES (revenue is counted NET of these)</t>
  </si>
  <si>
    <t xml:space="preserve">Payment processing fee</t>
  </si>
  <si>
    <t xml:space="preserve">ActBlue charges 3.95% per transaction (actblue.com; confirm your processor)</t>
  </si>
  <si>
    <t xml:space="preserve">Refund / failed payment rate</t>
  </si>
  <si>
    <t xml:space="preserve">Assumption - share of gross donations refunded or failed; replace with your actual</t>
  </si>
  <si>
    <t xml:space="preserve">Net revenue factor</t>
  </si>
  <si>
    <t xml:space="preserve">Share of each gross dollar you keep</t>
  </si>
  <si>
    <t xml:space="preserve">STEP 4 - COLD FUNNEL ASSUMPTIONS (enter a conservative and an optimistic value)</t>
  </si>
  <si>
    <t xml:space="preserve">Minimum (low)</t>
  </si>
  <si>
    <t xml:space="preserve">High</t>
  </si>
  <si>
    <t xml:space="preserve">Delivery rate</t>
  </si>
  <si>
    <t xml:space="preserve">Share of sends reaching a phone (assumption - typical 93-97%)</t>
  </si>
  <si>
    <t xml:space="preserve">Response rate (of delivered)</t>
  </si>
  <si>
    <t xml:space="preserve">Assumption - cold lists typically 1-5%</t>
  </si>
  <si>
    <t xml:space="preserve">Donor conversion rate (of delivered)</t>
  </si>
  <si>
    <t xml:space="preserve">Share of delivered texts producing a NEW donor. Assumption - cold SMS typically 0.05-0.3%. Replace with your blended rate from the Actuals Tracker</t>
  </si>
  <si>
    <t xml:space="preserve">Average initial donation ($)</t>
  </si>
  <si>
    <t xml:space="preserve">Assumption - cold small-dollar averages; replace with your actuals</t>
  </si>
  <si>
    <t xml:space="preserve">Repeat gifts per donor per month</t>
  </si>
  <si>
    <t xml:space="preserve">Assumption - how often a new donor gives again each month, scaled by months left in Step 1</t>
  </si>
  <si>
    <t xml:space="preserve">Average repeat gift ($)</t>
  </si>
  <si>
    <t xml:space="preserve">Assumption - average size of those follow-up gifts</t>
  </si>
  <si>
    <t xml:space="preserve">PROJECTIONS (net of processing fees, through election day)</t>
  </si>
  <si>
    <t xml:space="preserve">Minimum Projection</t>
  </si>
  <si>
    <t xml:space="preserve">High Projection</t>
  </si>
  <si>
    <t xml:space="preserve">All-in cost per contact ($)</t>
  </si>
  <si>
    <t xml:space="preserve">Initial message + expected follow-ups (responders only) + list rental</t>
  </si>
  <si>
    <t xml:space="preserve">Contacts texted</t>
  </si>
  <si>
    <t xml:space="preserve">Lesser of what the budget buys and the list size</t>
  </si>
  <si>
    <t xml:space="preserve">Estimated program spend ($)</t>
  </si>
  <si>
    <t xml:space="preserve">Actual texting + acquisition cost (can be under budget if the list runs out first)</t>
  </si>
  <si>
    <t xml:space="preserve">Unspent budget ($)</t>
  </si>
  <si>
    <t xml:space="preserve">Messages delivered</t>
  </si>
  <si>
    <t xml:space="preserve">Conversations started (replies)</t>
  </si>
  <si>
    <t xml:space="preserve">New donors acquired</t>
  </si>
  <si>
    <t xml:space="preserve">Cost per acquisition ($)</t>
  </si>
  <si>
    <t xml:space="preserve">Program spend / new donors</t>
  </si>
  <si>
    <t xml:space="preserve">Net immediate revenue - first gifts ($)</t>
  </si>
  <si>
    <t xml:space="preserve">After processing fees and refunds</t>
  </si>
  <si>
    <t xml:space="preserve">Net revenue through election day ($)</t>
  </si>
  <si>
    <t xml:space="preserve">First gifts + repeat giving for the months remaining, net of fees</t>
  </si>
  <si>
    <t xml:space="preserve">ROI through election day (net)</t>
  </si>
  <si>
    <t xml:space="preserve">Return after acquisition + texting costs AND processing fees, on dollars actually spent</t>
  </si>
  <si>
    <t xml:space="preserve">Net revenue per $1 spent</t>
  </si>
  <si>
    <t xml:space="preserve">Meets minimum ROI target?</t>
  </si>
  <si>
    <t xml:space="preserve">Checked against the ROI floor in Step 1</t>
  </si>
  <si>
    <t xml:space="preserve">ROI GUARDRAILS - WHAT IT TAKES TO CLEAR THE TARGET</t>
  </si>
  <si>
    <t xml:space="preserve">Net value per donor through election day ($)</t>
  </si>
  <si>
    <t xml:space="preserve">First gift + repeat gifts for the months remaining, net of fees</t>
  </si>
  <si>
    <t xml:space="preserve">Max allowable cost per acquisition ($)</t>
  </si>
  <si>
    <t xml:space="preserve">Spend more than this per donor and you fall below the ROI floor</t>
  </si>
  <si>
    <t xml:space="preserve">Donors needed to clear target</t>
  </si>
  <si>
    <t xml:space="preserve">New donors required for this scenario's spend to return (1 + target) net</t>
  </si>
  <si>
    <t xml:space="preserve">Conversion rate needed (of delivered)</t>
  </si>
  <si>
    <t xml:space="preserve">Compare to your assumed donor conversion rate in Step 4</t>
  </si>
  <si>
    <t xml:space="preserve">All yellow cells are assumptions, not guarantees - cold funnel rates vary widely by list quality, message, and timing. Log every real send on the Actuals Tracker tab and replace the Step 4 assumptions with your blended actual rates as they accumulate. Switchboard rates confirmed by campaign 2026-07-23; processing fee reflects ActBlue's published 3.95%. If the minimum projection reads BELOW TARGET, the guardrail rows show the cost per acquisition and conversion rate you'd need to clear the floor.</t>
  </si>
  <si>
    <t xml:space="preserve">Switchboard Texting Rates (pay-as-you-go)</t>
  </si>
  <si>
    <t xml:space="preserve">Message type</t>
  </si>
  <si>
    <t xml:space="preserve">Cost per outbound message ($)</t>
  </si>
  <si>
    <t xml:space="preserve">Notes</t>
  </si>
  <si>
    <t xml:space="preserve">SMS - 1 segment (up to 160 chars)</t>
  </si>
  <si>
    <t xml:space="preserve">Plain text, no media</t>
  </si>
  <si>
    <t xml:space="preserve">2 x $0.015 per segment</t>
  </si>
  <si>
    <t xml:space="preserve">SMS - 3 segments (321-480 chars)</t>
  </si>
  <si>
    <t xml:space="preserve">3 x $0.015 per segment</t>
  </si>
  <si>
    <t xml:space="preserve">MMS (media attached / long message)</t>
  </si>
  <si>
    <t xml:space="preserve">Flat rate - same as a 2-segment SMS</t>
  </si>
  <si>
    <t xml:space="preserve">Rates confirmed by campaign, 2026-07-23: $0.015 per SMS segment, $0.030 per MMS (pay-as-you-go; see welcome.oneswitchboard.com/pricing). No monthly fee, no setup fee, no minimums or prepayment; inbound replies, landline cleaning, and errored messages are free. Blue cells are editable if rates change - the Estimator pulls from this table. Follow-up conversation messages are costed at the SMS 1-segment rate (cell B3).</t>
  </si>
  <si>
    <t xml:space="preserve">Actuals Tracker - log every blast, and your real rates replace the guesses</t>
  </si>
  <si>
    <t xml:space="preserve">Enter the shaded columns (A-I) after each send; rates on the right compute automatically. Row 5 is an EXAMPLE with made-up numbers - delete it before logging real sends. Once 2-3 real blasts are logged, copy the blended rates from the TOTALS row into Estimator Step 4.</t>
  </si>
  <si>
    <t xml:space="preserve">Date</t>
  </si>
  <si>
    <t xml:space="preserve">Blast name</t>
  </si>
  <si>
    <t xml:space="preserve">Sent</t>
  </si>
  <si>
    <t xml:space="preserve">Delivered</t>
  </si>
  <si>
    <t xml:space="preserve">Replies</t>
  </si>
  <si>
    <t xml:space="preserve">Opt-outs</t>
  </si>
  <si>
    <t xml:space="preserve">New Donors</t>
  </si>
  <si>
    <t xml:space="preserve">Gross Revenue ($)</t>
  </si>
  <si>
    <t xml:space="preserve">Cost ($)</t>
  </si>
  <si>
    <t xml:space="preserve">Delivery %</t>
  </si>
  <si>
    <t xml:space="preserve">Response %</t>
  </si>
  <si>
    <t xml:space="preserve">Conversion %</t>
  </si>
  <si>
    <t xml:space="preserve">Avg Gift ($)</t>
  </si>
  <si>
    <t xml:space="preserve">CPA ($)</t>
  </si>
  <si>
    <t xml:space="preserve">Net ROI</t>
  </si>
  <si>
    <t xml:space="preserve">EXAMPLE - launch blast (delete this row)</t>
  </si>
  <si>
    <t xml:space="preserve">TOTALS / BLENDED RATES</t>
  </si>
  <si>
    <t xml:space="preserve">Net ROI here uses the net revenue factor from Estimator Step 3 (processing fees + refunds) and each blast's actual cost. Opt-outs shrink your future textable list - subtract the running total from 'Cold contacts available' on the Estimator tab.</t>
  </si>
  <si>
    <t xml:space="preserve">Budget Scenarios - Minimum vs. High</t>
  </si>
  <si>
    <t xml:space="preserve">Same assumptions as the Estimator tab at different budget levels, net of fees, through election day. Blue budgets are editable. Spend stops growing once the budget can text the whole list.</t>
  </si>
  <si>
    <t xml:space="preserve">Spend ($)</t>
  </si>
  <si>
    <t xml:space="preserve">Meets Target? (min)</t>
  </si>
  <si>
    <t xml:space="preserve">'Meets Target?' checks the MINIMUM projection's net ROI against the floor on the Estimator tab - if even the conservative case clears it, the budget level is safe. ROI is computed on actual spend, so budgets larger than the list can absorb show flat results with the remainder unspent.</t>
  </si>
</sst>
</file>

<file path=xl/styles.xml><?xml version="1.0" encoding="utf-8"?>
<styleSheet xmlns="http://schemas.openxmlformats.org/spreadsheetml/2006/main">
  <numFmts count="12">
    <numFmt numFmtId="164" formatCode="General"/>
    <numFmt numFmtId="165" formatCode="\$#,##0;&quot;($&quot;#,##0\);\-"/>
    <numFmt numFmtId="166" formatCode="0%;\(0%\);\-"/>
    <numFmt numFmtId="167" formatCode="#,##0;\(#,##0\);\-"/>
    <numFmt numFmtId="168" formatCode="#,##0.0;\(#,##0.0\);\-"/>
    <numFmt numFmtId="169" formatCode="\$#,##0.0000;&quot;($&quot;#,##0.0000\);\-"/>
    <numFmt numFmtId="170" formatCode="0.00%;\(0.00%\);\-"/>
    <numFmt numFmtId="171" formatCode="0.0%;\(0.0%\);\-"/>
    <numFmt numFmtId="172" formatCode="#,##0.00;\(#,##0.00\);\-"/>
    <numFmt numFmtId="173" formatCode="\$#,##0.00;&quot;($&quot;#,##0.00\);\-"/>
    <numFmt numFmtId="174" formatCode="\$0.00"/>
    <numFmt numFmtId="175" formatCode="yyyy\-mm\-dd"/>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008000"/>
      <name val="Arial"/>
      <family val="0"/>
      <charset val="1"/>
    </font>
    <font>
      <sz val="10"/>
      <name val="Arial"/>
      <family val="0"/>
      <charset val="1"/>
    </font>
    <font>
      <b val="true"/>
      <sz val="10"/>
      <color rgb="FF1F4E79"/>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FF00"/>
        <bgColor rgb="FFFFFF00"/>
      </patternFill>
    </fill>
    <fill>
      <patternFill patternType="solid">
        <fgColor rgb="FFFFF2CC"/>
        <bgColor rgb="FFFFFF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2" fontId="8" fillId="3"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75" fontId="8"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73" fontId="8" fillId="4" borderId="1" xfId="0" applyFont="true" applyBorder="true" applyAlignment="false" applyProtection="false">
      <alignment horizontal="general" vertical="bottom" textRotation="0" wrapText="false" indent="0" shrinkToFit="false"/>
      <protection locked="true" hidden="false"/>
    </xf>
    <xf numFmtId="173"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3" min="2" style="0" width="17"/>
    <col collapsed="false" customWidth="true" hidden="false" outlineLevel="0" max="4" min="4" style="0" width="5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4"/>
      <c r="C5" s="4"/>
      <c r="D5" s="4"/>
    </row>
    <row r="6" customFormat="false" ht="15" hidden="false" customHeight="false" outlineLevel="0" collapsed="false">
      <c r="A6" s="5" t="s">
        <v>4</v>
      </c>
      <c r="B6" s="6" t="n">
        <v>10000</v>
      </c>
      <c r="D6" s="7" t="s">
        <v>5</v>
      </c>
    </row>
    <row r="7" customFormat="false" ht="15" hidden="false" customHeight="false" outlineLevel="0" collapsed="false">
      <c r="A7" s="5" t="s">
        <v>6</v>
      </c>
      <c r="B7" s="8" t="n">
        <v>1.5</v>
      </c>
      <c r="D7" s="7" t="s">
        <v>7</v>
      </c>
    </row>
    <row r="8" customFormat="false" ht="15" hidden="false" customHeight="false" outlineLevel="0" collapsed="false">
      <c r="A8" s="5" t="s">
        <v>8</v>
      </c>
      <c r="B8" s="9" t="n">
        <v>100000</v>
      </c>
      <c r="D8" s="7" t="s">
        <v>9</v>
      </c>
    </row>
    <row r="9" customFormat="false" ht="15" hidden="false" customHeight="false" outlineLevel="0" collapsed="false">
      <c r="A9" s="5" t="s">
        <v>10</v>
      </c>
      <c r="B9" s="10" t="n">
        <v>3.5</v>
      </c>
      <c r="D9" s="7" t="s">
        <v>11</v>
      </c>
    </row>
    <row r="11" customFormat="false" ht="15" hidden="false" customHeight="false" outlineLevel="0" collapsed="false">
      <c r="A11" s="3" t="s">
        <v>12</v>
      </c>
      <c r="B11" s="4"/>
      <c r="C11" s="4"/>
      <c r="D11" s="4"/>
    </row>
    <row r="12" customFormat="false" ht="15" hidden="false" customHeight="false" outlineLevel="0" collapsed="false">
      <c r="A12" s="5" t="s">
        <v>13</v>
      </c>
      <c r="B12" s="11" t="s">
        <v>14</v>
      </c>
      <c r="D12" s="7" t="s">
        <v>15</v>
      </c>
    </row>
    <row r="13" customFormat="false" ht="15" hidden="false" customHeight="false" outlineLevel="0" collapsed="false">
      <c r="A13" s="5" t="s">
        <v>16</v>
      </c>
      <c r="B13" s="12" t="n">
        <f aca="false">INDEX('Switchboard Rates'!$B$3:$B$6,MATCH($B$12,'Switchboard Rates'!$A$3:$A$6,0))</f>
        <v>0.03</v>
      </c>
      <c r="D13" s="7" t="s">
        <v>17</v>
      </c>
    </row>
    <row r="14" customFormat="false" ht="15" hidden="false" customHeight="false" outlineLevel="0" collapsed="false">
      <c r="A14" s="5" t="s">
        <v>18</v>
      </c>
      <c r="B14" s="12" t="n">
        <f aca="false">'Switchboard Rates'!$B$3</f>
        <v>0.015</v>
      </c>
      <c r="D14" s="7" t="s">
        <v>19</v>
      </c>
    </row>
    <row r="15" customFormat="false" ht="15" hidden="false" customHeight="false" outlineLevel="0" collapsed="false">
      <c r="A15" s="5" t="s">
        <v>20</v>
      </c>
      <c r="B15" s="9" t="n">
        <v>3</v>
      </c>
      <c r="D15" s="7" t="s">
        <v>21</v>
      </c>
    </row>
    <row r="16" customFormat="false" ht="15" hidden="false" customHeight="false" outlineLevel="0" collapsed="false">
      <c r="A16" s="5" t="s">
        <v>22</v>
      </c>
      <c r="B16" s="13" t="n">
        <v>0</v>
      </c>
      <c r="D16" s="7" t="s">
        <v>23</v>
      </c>
    </row>
    <row r="18" customFormat="false" ht="15" hidden="false" customHeight="false" outlineLevel="0" collapsed="false">
      <c r="A18" s="3" t="s">
        <v>24</v>
      </c>
      <c r="B18" s="4"/>
      <c r="C18" s="4"/>
      <c r="D18" s="4"/>
    </row>
    <row r="19" customFormat="false" ht="15" hidden="false" customHeight="false" outlineLevel="0" collapsed="false">
      <c r="A19" s="5" t="s">
        <v>25</v>
      </c>
      <c r="B19" s="14" t="n">
        <v>0.0395</v>
      </c>
      <c r="D19" s="7" t="s">
        <v>26</v>
      </c>
    </row>
    <row r="20" customFormat="false" ht="15" hidden="false" customHeight="false" outlineLevel="0" collapsed="false">
      <c r="A20" s="5" t="s">
        <v>27</v>
      </c>
      <c r="B20" s="15" t="n">
        <v>0.01</v>
      </c>
      <c r="D20" s="7" t="s">
        <v>28</v>
      </c>
    </row>
    <row r="21" customFormat="false" ht="15" hidden="false" customHeight="false" outlineLevel="0" collapsed="false">
      <c r="A21" s="16" t="s">
        <v>29</v>
      </c>
      <c r="B21" s="17" t="n">
        <f aca="false">(1-$B$19)*(1-$B$20)</f>
        <v>0.950895</v>
      </c>
      <c r="D21" s="7" t="s">
        <v>30</v>
      </c>
    </row>
    <row r="23" customFormat="false" ht="15" hidden="false" customHeight="false" outlineLevel="0" collapsed="false">
      <c r="A23" s="3" t="s">
        <v>31</v>
      </c>
      <c r="B23" s="4"/>
      <c r="C23" s="4"/>
      <c r="D23" s="4"/>
    </row>
    <row r="24" customFormat="false" ht="15" hidden="false" customHeight="false" outlineLevel="0" collapsed="false">
      <c r="B24" s="18" t="s">
        <v>32</v>
      </c>
      <c r="C24" s="18" t="s">
        <v>33</v>
      </c>
    </row>
    <row r="25" customFormat="false" ht="15" hidden="false" customHeight="false" outlineLevel="0" collapsed="false">
      <c r="A25" s="16" t="s">
        <v>34</v>
      </c>
      <c r="B25" s="15" t="n">
        <v>0.93</v>
      </c>
      <c r="C25" s="15" t="n">
        <v>0.97</v>
      </c>
      <c r="D25" s="7" t="s">
        <v>35</v>
      </c>
    </row>
    <row r="26" customFormat="false" ht="15" hidden="false" customHeight="false" outlineLevel="0" collapsed="false">
      <c r="A26" s="16" t="s">
        <v>36</v>
      </c>
      <c r="B26" s="15" t="n">
        <v>0.01</v>
      </c>
      <c r="C26" s="15" t="n">
        <v>0.04</v>
      </c>
      <c r="D26" s="7" t="s">
        <v>37</v>
      </c>
    </row>
    <row r="27" customFormat="false" ht="22.35" hidden="false" customHeight="false" outlineLevel="0" collapsed="false">
      <c r="A27" s="16" t="s">
        <v>38</v>
      </c>
      <c r="B27" s="14" t="n">
        <v>0.0005</v>
      </c>
      <c r="C27" s="14" t="n">
        <v>0.003</v>
      </c>
      <c r="D27" s="7" t="s">
        <v>39</v>
      </c>
    </row>
    <row r="28" customFormat="false" ht="15" hidden="false" customHeight="false" outlineLevel="0" collapsed="false">
      <c r="A28" s="16" t="s">
        <v>40</v>
      </c>
      <c r="B28" s="6" t="n">
        <v>25</v>
      </c>
      <c r="C28" s="6" t="n">
        <v>35</v>
      </c>
      <c r="D28" s="7" t="s">
        <v>41</v>
      </c>
    </row>
    <row r="29" customFormat="false" ht="15" hidden="false" customHeight="false" outlineLevel="0" collapsed="false">
      <c r="A29" s="16" t="s">
        <v>42</v>
      </c>
      <c r="B29" s="19" t="n">
        <v>0.1</v>
      </c>
      <c r="C29" s="19" t="n">
        <v>0.3</v>
      </c>
      <c r="D29" s="7" t="s">
        <v>43</v>
      </c>
    </row>
    <row r="30" customFormat="false" ht="15" hidden="false" customHeight="false" outlineLevel="0" collapsed="false">
      <c r="A30" s="16" t="s">
        <v>44</v>
      </c>
      <c r="B30" s="6" t="n">
        <v>25</v>
      </c>
      <c r="C30" s="6" t="n">
        <v>35</v>
      </c>
      <c r="D30" s="7" t="s">
        <v>45</v>
      </c>
    </row>
    <row r="32" customFormat="false" ht="15" hidden="false" customHeight="false" outlineLevel="0" collapsed="false">
      <c r="A32" s="3" t="s">
        <v>46</v>
      </c>
      <c r="B32" s="4"/>
      <c r="C32" s="4"/>
      <c r="D32" s="4"/>
    </row>
    <row r="33" customFormat="false" ht="15" hidden="false" customHeight="false" outlineLevel="0" collapsed="false">
      <c r="B33" s="18" t="s">
        <v>47</v>
      </c>
      <c r="C33" s="18" t="s">
        <v>48</v>
      </c>
    </row>
    <row r="34" customFormat="false" ht="15" hidden="false" customHeight="false" outlineLevel="0" collapsed="false">
      <c r="A34" s="16" t="s">
        <v>49</v>
      </c>
      <c r="B34" s="20" t="n">
        <f aca="false">$B$13+B25*B26*$B$15*$B$14+$B$16</f>
        <v>0.0304185</v>
      </c>
      <c r="C34" s="20" t="n">
        <f aca="false">$B$13+C25*C26*$B$15*$B$14+$B$16</f>
        <v>0.031746</v>
      </c>
      <c r="D34" s="7" t="s">
        <v>50</v>
      </c>
    </row>
    <row r="35" customFormat="false" ht="15" hidden="false" customHeight="false" outlineLevel="0" collapsed="false">
      <c r="A35" s="16" t="s">
        <v>51</v>
      </c>
      <c r="B35" s="21" t="n">
        <f aca="false">IF(B34&gt;0,MIN($B$8,ROUNDDOWN($B$6/B34,0)),0)</f>
        <v>100000</v>
      </c>
      <c r="C35" s="21" t="n">
        <f aca="false">IF(C34&gt;0,MIN($B$8,ROUNDDOWN($B$6/C34,0)),0)</f>
        <v>100000</v>
      </c>
      <c r="D35" s="7" t="s">
        <v>52</v>
      </c>
    </row>
    <row r="36" customFormat="false" ht="15" hidden="false" customHeight="false" outlineLevel="0" collapsed="false">
      <c r="A36" s="16" t="s">
        <v>53</v>
      </c>
      <c r="B36" s="22" t="n">
        <f aca="false">B35*B34</f>
        <v>3041.85</v>
      </c>
      <c r="C36" s="22" t="n">
        <f aca="false">C35*C34</f>
        <v>3174.6</v>
      </c>
      <c r="D36" s="7" t="s">
        <v>54</v>
      </c>
    </row>
    <row r="37" customFormat="false" ht="15" hidden="false" customHeight="false" outlineLevel="0" collapsed="false">
      <c r="A37" s="16" t="s">
        <v>55</v>
      </c>
      <c r="B37" s="22" t="n">
        <f aca="false">$B$6-B36</f>
        <v>6958.15</v>
      </c>
      <c r="C37" s="22" t="n">
        <f aca="false">$B$6-C36</f>
        <v>6825.4</v>
      </c>
    </row>
    <row r="38" customFormat="false" ht="15" hidden="false" customHeight="false" outlineLevel="0" collapsed="false">
      <c r="A38" s="16" t="s">
        <v>56</v>
      </c>
      <c r="B38" s="21" t="n">
        <f aca="false">B35*B25</f>
        <v>93000</v>
      </c>
      <c r="C38" s="21" t="n">
        <f aca="false">C35*C25</f>
        <v>97000</v>
      </c>
    </row>
    <row r="39" customFormat="false" ht="15" hidden="false" customHeight="false" outlineLevel="0" collapsed="false">
      <c r="A39" s="16" t="s">
        <v>57</v>
      </c>
      <c r="B39" s="21" t="n">
        <f aca="false">B38*B26</f>
        <v>930</v>
      </c>
      <c r="C39" s="21" t="n">
        <f aca="false">C38*C26</f>
        <v>3880</v>
      </c>
    </row>
    <row r="40" customFormat="false" ht="15" hidden="false" customHeight="false" outlineLevel="0" collapsed="false">
      <c r="A40" s="5" t="s">
        <v>58</v>
      </c>
      <c r="B40" s="23" t="n">
        <f aca="false">B38*B27</f>
        <v>46.5</v>
      </c>
      <c r="C40" s="23" t="n">
        <f aca="false">C38*C27</f>
        <v>291</v>
      </c>
    </row>
    <row r="41" customFormat="false" ht="15" hidden="false" customHeight="false" outlineLevel="0" collapsed="false">
      <c r="A41" s="5" t="s">
        <v>59</v>
      </c>
      <c r="B41" s="24" t="n">
        <f aca="false">IF(B40&gt;0,B36/B40,"n/a")</f>
        <v>65.4161290322581</v>
      </c>
      <c r="C41" s="24" t="n">
        <f aca="false">IF(C40&gt;0,C36/C40,"n/a")</f>
        <v>10.9092783505155</v>
      </c>
      <c r="D41" s="7" t="s">
        <v>60</v>
      </c>
    </row>
    <row r="42" customFormat="false" ht="15" hidden="false" customHeight="false" outlineLevel="0" collapsed="false">
      <c r="A42" s="16" t="s">
        <v>61</v>
      </c>
      <c r="B42" s="22" t="n">
        <f aca="false">B40*B28*$B$21</f>
        <v>1105.4154375</v>
      </c>
      <c r="C42" s="22" t="n">
        <f aca="false">C40*C28*$B$21</f>
        <v>9684.865575</v>
      </c>
      <c r="D42" s="7" t="s">
        <v>62</v>
      </c>
    </row>
    <row r="43" customFormat="false" ht="15" hidden="false" customHeight="false" outlineLevel="0" collapsed="false">
      <c r="A43" s="16" t="s">
        <v>63</v>
      </c>
      <c r="B43" s="22" t="n">
        <f aca="false">B40*B48</f>
        <v>1492.310840625</v>
      </c>
      <c r="C43" s="22" t="n">
        <f aca="false">C40*C48</f>
        <v>19853.97442875</v>
      </c>
      <c r="D43" s="7" t="s">
        <v>64</v>
      </c>
    </row>
    <row r="44" customFormat="false" ht="15" hidden="false" customHeight="false" outlineLevel="0" collapsed="false">
      <c r="A44" s="5" t="s">
        <v>65</v>
      </c>
      <c r="B44" s="25" t="n">
        <f aca="false">IF(B36&gt;0,(B43-B36)/B36,0)</f>
        <v>-0.509406827876128</v>
      </c>
      <c r="C44" s="25" t="n">
        <f aca="false">IF(C36&gt;0,(C43-C36)/C36,0)</f>
        <v>5.25400819906445</v>
      </c>
      <c r="D44" s="7" t="s">
        <v>66</v>
      </c>
    </row>
    <row r="45" customFormat="false" ht="15" hidden="false" customHeight="false" outlineLevel="0" collapsed="false">
      <c r="A45" s="16" t="s">
        <v>67</v>
      </c>
      <c r="B45" s="26" t="n">
        <f aca="false">IF(B36&gt;0,B43/B36,0)</f>
        <v>0.490593172123872</v>
      </c>
      <c r="C45" s="26" t="n">
        <f aca="false">IF(C36&gt;0,C43/C36,0)</f>
        <v>6.25400819906445</v>
      </c>
    </row>
    <row r="46" customFormat="false" ht="15" hidden="false" customHeight="false" outlineLevel="0" collapsed="false">
      <c r="A46" s="5" t="s">
        <v>68</v>
      </c>
      <c r="B46" s="27" t="str">
        <f aca="false">IF(B44&gt;=$B$7,"MEETS TARGET","BELOW TARGET")</f>
        <v>BELOW TARGET</v>
      </c>
      <c r="C46" s="27" t="str">
        <f aca="false">IF(C44&gt;=$B$7,"MEETS TARGET","BELOW TARGET")</f>
        <v>MEETS TARGET</v>
      </c>
      <c r="D46" s="7" t="s">
        <v>69</v>
      </c>
    </row>
    <row r="47" customFormat="false" ht="15" hidden="false" customHeight="false" outlineLevel="0" collapsed="false">
      <c r="A47" s="3" t="s">
        <v>70</v>
      </c>
      <c r="B47" s="4"/>
      <c r="C47" s="4"/>
      <c r="D47" s="4"/>
    </row>
    <row r="48" customFormat="false" ht="15" hidden="false" customHeight="false" outlineLevel="0" collapsed="false">
      <c r="A48" s="16" t="s">
        <v>71</v>
      </c>
      <c r="B48" s="22" t="n">
        <f aca="false">$B$21*(B28+B29*$B$9*B30)</f>
        <v>32.09270625</v>
      </c>
      <c r="C48" s="22" t="n">
        <f aca="false">$B$21*(C28+C29*$B$9*C30)</f>
        <v>68.22671625</v>
      </c>
      <c r="D48" s="7" t="s">
        <v>72</v>
      </c>
    </row>
    <row r="49" customFormat="false" ht="15" hidden="false" customHeight="false" outlineLevel="0" collapsed="false">
      <c r="A49" s="5" t="s">
        <v>73</v>
      </c>
      <c r="B49" s="24" t="n">
        <f aca="false">B48/(1+$B$7)</f>
        <v>12.8370825</v>
      </c>
      <c r="C49" s="24" t="n">
        <f aca="false">C48/(1+$B$7)</f>
        <v>27.2906865</v>
      </c>
      <c r="D49" s="7" t="s">
        <v>74</v>
      </c>
    </row>
    <row r="50" customFormat="false" ht="15" hidden="false" customHeight="false" outlineLevel="0" collapsed="false">
      <c r="A50" s="16" t="s">
        <v>75</v>
      </c>
      <c r="B50" s="21" t="n">
        <f aca="false">IF(B48&gt;0,(1+$B$7)*B36/B48,0)</f>
        <v>236.958047126362</v>
      </c>
      <c r="C50" s="21" t="n">
        <f aca="false">IF(C48&gt;0,(1+$B$7)*C36/C48,0)</f>
        <v>116.325399143037</v>
      </c>
      <c r="D50" s="7" t="s">
        <v>76</v>
      </c>
    </row>
    <row r="51" customFormat="false" ht="15" hidden="false" customHeight="false" outlineLevel="0" collapsed="false">
      <c r="A51" s="16" t="s">
        <v>77</v>
      </c>
      <c r="B51" s="28" t="n">
        <f aca="false">IF(B38&gt;0,B50/B38,0)</f>
        <v>0.00254793599060605</v>
      </c>
      <c r="C51" s="28" t="n">
        <f aca="false">IF(C38&gt;0,C50/C38,0)</f>
        <v>0.00119923091900038</v>
      </c>
      <c r="D51" s="7" t="s">
        <v>78</v>
      </c>
    </row>
    <row r="53" customFormat="false" ht="15" hidden="false" customHeight="true" outlineLevel="0" collapsed="false">
      <c r="A53" s="29" t="s">
        <v>79</v>
      </c>
      <c r="B53" s="29"/>
      <c r="C53" s="29"/>
      <c r="D53" s="29"/>
    </row>
    <row r="54" customFormat="false" ht="15" hidden="false" customHeight="false" outlineLevel="0" collapsed="false">
      <c r="A54" s="29"/>
      <c r="B54" s="29"/>
      <c r="C54" s="29"/>
      <c r="D54" s="29"/>
    </row>
    <row r="55" customFormat="false" ht="15" hidden="false" customHeight="false" outlineLevel="0" collapsed="false">
      <c r="A55" s="29"/>
      <c r="B55" s="29"/>
      <c r="C55" s="29"/>
      <c r="D55" s="29"/>
    </row>
    <row r="56" customFormat="false" ht="15" hidden="false" customHeight="false" outlineLevel="0" collapsed="false">
      <c r="A56" s="29"/>
      <c r="B56" s="29"/>
      <c r="C56" s="29"/>
      <c r="D56" s="29"/>
    </row>
  </sheetData>
  <mergeCells count="1">
    <mergeCell ref="A53:D56"/>
  </mergeCells>
  <conditionalFormatting sqref="B46:C46">
    <cfRule type="expression" priority="2" aboveAverage="0" equalAverage="0" bottom="0" percent="0" rank="0" text="" dxfId="0">
      <formula>B44&gt;=$B$7</formula>
    </cfRule>
    <cfRule type="expression" priority="3" aboveAverage="0" equalAverage="0" bottom="0" percent="0" rank="0" text="" dxfId="1">
      <formula>B44&lt;$B$7</formula>
    </cfRule>
  </conditionalFormatting>
  <dataValidations count="1">
    <dataValidation allowBlank="false" errorStyle="stop" operator="between" showDropDown="false" showErrorMessage="false" showInputMessage="false" sqref="B12" type="list">
      <formula1>'Switchboard Rates'!$A$3:$A$6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2" min="2" style="0" width="18"/>
    <col collapsed="false" customWidth="true" hidden="false" outlineLevel="0" max="3" min="3" style="0" width="44"/>
  </cols>
  <sheetData>
    <row r="1" customFormat="false" ht="17.35" hidden="false" customHeight="false" outlineLevel="0" collapsed="false">
      <c r="A1" s="1" t="s">
        <v>80</v>
      </c>
    </row>
    <row r="2" customFormat="false" ht="23.85" hidden="false" customHeight="false" outlineLevel="0" collapsed="false">
      <c r="A2" s="30" t="s">
        <v>81</v>
      </c>
      <c r="B2" s="30" t="s">
        <v>82</v>
      </c>
      <c r="C2" s="30" t="s">
        <v>83</v>
      </c>
    </row>
    <row r="3" customFormat="false" ht="15" hidden="false" customHeight="false" outlineLevel="0" collapsed="false">
      <c r="A3" s="31" t="s">
        <v>84</v>
      </c>
      <c r="B3" s="32" t="n">
        <v>0.015</v>
      </c>
      <c r="C3" s="31" t="s">
        <v>85</v>
      </c>
    </row>
    <row r="4" customFormat="false" ht="15" hidden="false" customHeight="false" outlineLevel="0" collapsed="false">
      <c r="A4" s="31" t="s">
        <v>14</v>
      </c>
      <c r="B4" s="32" t="n">
        <v>0.03</v>
      </c>
      <c r="C4" s="31" t="s">
        <v>86</v>
      </c>
    </row>
    <row r="5" customFormat="false" ht="15" hidden="false" customHeight="false" outlineLevel="0" collapsed="false">
      <c r="A5" s="31" t="s">
        <v>87</v>
      </c>
      <c r="B5" s="32" t="n">
        <v>0.045</v>
      </c>
      <c r="C5" s="31" t="s">
        <v>88</v>
      </c>
    </row>
    <row r="6" customFormat="false" ht="15" hidden="false" customHeight="false" outlineLevel="0" collapsed="false">
      <c r="A6" s="31" t="s">
        <v>89</v>
      </c>
      <c r="B6" s="32" t="n">
        <v>0.03</v>
      </c>
      <c r="C6" s="31" t="s">
        <v>90</v>
      </c>
    </row>
    <row r="8" customFormat="false" ht="15" hidden="false" customHeight="true" outlineLevel="0" collapsed="false">
      <c r="A8" s="29" t="s">
        <v>91</v>
      </c>
      <c r="B8" s="29"/>
      <c r="C8" s="29"/>
    </row>
    <row r="9" customFormat="false" ht="15" hidden="false" customHeight="false" outlineLevel="0" collapsed="false">
      <c r="A9" s="29"/>
      <c r="B9" s="29"/>
      <c r="C9" s="29"/>
    </row>
    <row r="10" customFormat="false" ht="15" hidden="false" customHeight="false" outlineLevel="0" collapsed="false">
      <c r="A10" s="29"/>
      <c r="B10" s="29"/>
      <c r="C10" s="29"/>
    </row>
    <row r="11" customFormat="false" ht="15" hidden="false" customHeight="false" outlineLevel="0" collapsed="false">
      <c r="A11" s="29"/>
      <c r="B11" s="29"/>
      <c r="C11" s="29"/>
    </row>
    <row r="12" customFormat="false" ht="15" hidden="false" customHeight="false" outlineLevel="0" collapsed="false">
      <c r="A12" s="29"/>
      <c r="B12" s="29"/>
      <c r="C12" s="29"/>
    </row>
  </sheetData>
  <mergeCells count="1">
    <mergeCell ref="A8: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10"/>
    <col collapsed="false" customWidth="true" hidden="false" outlineLevel="0" max="6" min="5" style="0" width="9"/>
    <col collapsed="false" customWidth="true" hidden="false" outlineLevel="0" max="7" min="7" style="0" width="10"/>
    <col collapsed="false" customWidth="true" hidden="false" outlineLevel="0" max="8" min="8" style="0" width="13"/>
    <col collapsed="false" customWidth="true" hidden="false" outlineLevel="0" max="9" min="9" style="0" width="11"/>
    <col collapsed="false" customWidth="true" hidden="false" outlineLevel="0" max="11" min="10" style="0" width="10"/>
    <col collapsed="false" customWidth="true" hidden="false" outlineLevel="0" max="12" min="12" style="0" width="11"/>
    <col collapsed="false" customWidth="true" hidden="false" outlineLevel="0" max="15" min="13" style="0" width="10"/>
  </cols>
  <sheetData>
    <row r="1" customFormat="false" ht="17.35" hidden="false" customHeight="false" outlineLevel="0" collapsed="false">
      <c r="A1" s="1" t="s">
        <v>92</v>
      </c>
    </row>
    <row r="2" customFormat="false" ht="15" hidden="false" customHeight="true" outlineLevel="0" collapsed="false">
      <c r="A2" s="29" t="s">
        <v>93</v>
      </c>
      <c r="B2" s="29"/>
      <c r="C2" s="29"/>
      <c r="D2" s="29"/>
      <c r="E2" s="29"/>
      <c r="F2" s="29"/>
      <c r="G2" s="29"/>
      <c r="H2" s="29"/>
      <c r="I2" s="29"/>
      <c r="J2" s="29"/>
      <c r="K2" s="29"/>
      <c r="L2" s="29"/>
      <c r="M2" s="29"/>
      <c r="N2" s="29"/>
      <c r="O2" s="29"/>
    </row>
    <row r="3" customFormat="false" ht="15" hidden="false" customHeight="false" outlineLevel="0" collapsed="false">
      <c r="A3" s="29"/>
      <c r="B3" s="29"/>
      <c r="C3" s="29"/>
      <c r="D3" s="29"/>
      <c r="E3" s="29"/>
      <c r="F3" s="29"/>
      <c r="G3" s="29"/>
      <c r="H3" s="29"/>
      <c r="I3" s="29"/>
      <c r="J3" s="29"/>
      <c r="K3" s="29"/>
      <c r="L3" s="29"/>
      <c r="M3" s="29"/>
      <c r="N3" s="29"/>
      <c r="O3" s="29"/>
    </row>
    <row r="4" customFormat="false" ht="23.85" hidden="false" customHeight="false" outlineLevel="0" collapsed="false">
      <c r="A4" s="33" t="s">
        <v>94</v>
      </c>
      <c r="B4" s="33" t="s">
        <v>95</v>
      </c>
      <c r="C4" s="33" t="s">
        <v>96</v>
      </c>
      <c r="D4" s="33" t="s">
        <v>97</v>
      </c>
      <c r="E4" s="33" t="s">
        <v>98</v>
      </c>
      <c r="F4" s="33" t="s">
        <v>99</v>
      </c>
      <c r="G4" s="33" t="s">
        <v>100</v>
      </c>
      <c r="H4" s="33" t="s">
        <v>101</v>
      </c>
      <c r="I4" s="33" t="s">
        <v>102</v>
      </c>
      <c r="J4" s="33" t="s">
        <v>103</v>
      </c>
      <c r="K4" s="33" t="s">
        <v>104</v>
      </c>
      <c r="L4" s="33" t="s">
        <v>105</v>
      </c>
      <c r="M4" s="33" t="s">
        <v>106</v>
      </c>
      <c r="N4" s="33" t="s">
        <v>107</v>
      </c>
      <c r="O4" s="33" t="s">
        <v>108</v>
      </c>
    </row>
    <row r="5" customFormat="false" ht="15" hidden="false" customHeight="false" outlineLevel="0" collapsed="false">
      <c r="A5" s="34" t="n">
        <v>46223</v>
      </c>
      <c r="B5" s="35" t="s">
        <v>109</v>
      </c>
      <c r="C5" s="36" t="n">
        <v>10000</v>
      </c>
      <c r="D5" s="36" t="n">
        <v>9400</v>
      </c>
      <c r="E5" s="36" t="n">
        <v>250</v>
      </c>
      <c r="F5" s="36" t="n">
        <v>120</v>
      </c>
      <c r="G5" s="36" t="n">
        <v>12</v>
      </c>
      <c r="H5" s="37" t="n">
        <v>380</v>
      </c>
      <c r="I5" s="37" t="n">
        <v>310</v>
      </c>
      <c r="J5" s="17" t="n">
        <f aca="false">IF($C5&gt;0,$D5/$C5,"")</f>
        <v>0.94</v>
      </c>
      <c r="K5" s="17" t="n">
        <f aca="false">IF($D5&gt;0,$E5/$D5,"")</f>
        <v>0.0265957446808511</v>
      </c>
      <c r="L5" s="28" t="n">
        <f aca="false">IF($D5&gt;0,$G5/$D5,"")</f>
        <v>0.00127659574468085</v>
      </c>
      <c r="M5" s="38" t="n">
        <f aca="false">IF($G5&gt;0,$H5/$G5,"")</f>
        <v>31.6666666666667</v>
      </c>
      <c r="N5" s="38" t="n">
        <f aca="false">IF($G5&gt;0,$I5/$G5,"")</f>
        <v>25.8333333333333</v>
      </c>
      <c r="O5" s="17" t="n">
        <f aca="false">IF($I5&gt;0,($H5*Estimator!$B$21-$I5)/$I5,"")</f>
        <v>0.165613225806452</v>
      </c>
    </row>
    <row r="6" customFormat="false" ht="15" hidden="false" customHeight="false" outlineLevel="0" collapsed="false">
      <c r="A6" s="34"/>
      <c r="B6" s="35"/>
      <c r="C6" s="36"/>
      <c r="D6" s="36"/>
      <c r="E6" s="36"/>
      <c r="F6" s="36"/>
      <c r="G6" s="36"/>
      <c r="H6" s="37"/>
      <c r="I6" s="37"/>
      <c r="J6" s="17" t="str">
        <f aca="false">IF($C6&gt;0,$D6/$C6,"")</f>
        <v/>
      </c>
      <c r="K6" s="17" t="str">
        <f aca="false">IF($D6&gt;0,$E6/$D6,"")</f>
        <v/>
      </c>
      <c r="L6" s="28" t="str">
        <f aca="false">IF($D6&gt;0,$G6/$D6,"")</f>
        <v/>
      </c>
      <c r="M6" s="38" t="str">
        <f aca="false">IF($G6&gt;0,$H6/$G6,"")</f>
        <v/>
      </c>
      <c r="N6" s="38" t="str">
        <f aca="false">IF($G6&gt;0,$I6/$G6,"")</f>
        <v/>
      </c>
      <c r="O6" s="17" t="str">
        <f aca="false">IF($I6&gt;0,($H6*Estimator!$B$21-$I6)/$I6,"")</f>
        <v/>
      </c>
    </row>
    <row r="7" customFormat="false" ht="15" hidden="false" customHeight="false" outlineLevel="0" collapsed="false">
      <c r="A7" s="34"/>
      <c r="B7" s="35"/>
      <c r="C7" s="36"/>
      <c r="D7" s="36"/>
      <c r="E7" s="36"/>
      <c r="F7" s="36"/>
      <c r="G7" s="36"/>
      <c r="H7" s="37"/>
      <c r="I7" s="37"/>
      <c r="J7" s="17" t="str">
        <f aca="false">IF($C7&gt;0,$D7/$C7,"")</f>
        <v/>
      </c>
      <c r="K7" s="17" t="str">
        <f aca="false">IF($D7&gt;0,$E7/$D7,"")</f>
        <v/>
      </c>
      <c r="L7" s="28" t="str">
        <f aca="false">IF($D7&gt;0,$G7/$D7,"")</f>
        <v/>
      </c>
      <c r="M7" s="38" t="str">
        <f aca="false">IF($G7&gt;0,$H7/$G7,"")</f>
        <v/>
      </c>
      <c r="N7" s="38" t="str">
        <f aca="false">IF($G7&gt;0,$I7/$G7,"")</f>
        <v/>
      </c>
      <c r="O7" s="17" t="str">
        <f aca="false">IF($I7&gt;0,($H7*Estimator!$B$21-$I7)/$I7,"")</f>
        <v/>
      </c>
    </row>
    <row r="8" customFormat="false" ht="15" hidden="false" customHeight="false" outlineLevel="0" collapsed="false">
      <c r="A8" s="34"/>
      <c r="B8" s="35"/>
      <c r="C8" s="36"/>
      <c r="D8" s="36"/>
      <c r="E8" s="36"/>
      <c r="F8" s="36"/>
      <c r="G8" s="36"/>
      <c r="H8" s="37"/>
      <c r="I8" s="37"/>
      <c r="J8" s="17" t="str">
        <f aca="false">IF($C8&gt;0,$D8/$C8,"")</f>
        <v/>
      </c>
      <c r="K8" s="17" t="str">
        <f aca="false">IF($D8&gt;0,$E8/$D8,"")</f>
        <v/>
      </c>
      <c r="L8" s="28" t="str">
        <f aca="false">IF($D8&gt;0,$G8/$D8,"")</f>
        <v/>
      </c>
      <c r="M8" s="38" t="str">
        <f aca="false">IF($G8&gt;0,$H8/$G8,"")</f>
        <v/>
      </c>
      <c r="N8" s="38" t="str">
        <f aca="false">IF($G8&gt;0,$I8/$G8,"")</f>
        <v/>
      </c>
      <c r="O8" s="17" t="str">
        <f aca="false">IF($I8&gt;0,($H8*Estimator!$B$21-$I8)/$I8,"")</f>
        <v/>
      </c>
    </row>
    <row r="9" customFormat="false" ht="15" hidden="false" customHeight="false" outlineLevel="0" collapsed="false">
      <c r="A9" s="34"/>
      <c r="B9" s="35"/>
      <c r="C9" s="36"/>
      <c r="D9" s="36"/>
      <c r="E9" s="36"/>
      <c r="F9" s="36"/>
      <c r="G9" s="36"/>
      <c r="H9" s="37"/>
      <c r="I9" s="37"/>
      <c r="J9" s="17" t="str">
        <f aca="false">IF($C9&gt;0,$D9/$C9,"")</f>
        <v/>
      </c>
      <c r="K9" s="17" t="str">
        <f aca="false">IF($D9&gt;0,$E9/$D9,"")</f>
        <v/>
      </c>
      <c r="L9" s="28" t="str">
        <f aca="false">IF($D9&gt;0,$G9/$D9,"")</f>
        <v/>
      </c>
      <c r="M9" s="38" t="str">
        <f aca="false">IF($G9&gt;0,$H9/$G9,"")</f>
        <v/>
      </c>
      <c r="N9" s="38" t="str">
        <f aca="false">IF($G9&gt;0,$I9/$G9,"")</f>
        <v/>
      </c>
      <c r="O9" s="17" t="str">
        <f aca="false">IF($I9&gt;0,($H9*Estimator!$B$21-$I9)/$I9,"")</f>
        <v/>
      </c>
    </row>
    <row r="10" customFormat="false" ht="15" hidden="false" customHeight="false" outlineLevel="0" collapsed="false">
      <c r="A10" s="34"/>
      <c r="B10" s="35"/>
      <c r="C10" s="36"/>
      <c r="D10" s="36"/>
      <c r="E10" s="36"/>
      <c r="F10" s="36"/>
      <c r="G10" s="36"/>
      <c r="H10" s="37"/>
      <c r="I10" s="37"/>
      <c r="J10" s="17" t="str">
        <f aca="false">IF($C10&gt;0,$D10/$C10,"")</f>
        <v/>
      </c>
      <c r="K10" s="17" t="str">
        <f aca="false">IF($D10&gt;0,$E10/$D10,"")</f>
        <v/>
      </c>
      <c r="L10" s="28" t="str">
        <f aca="false">IF($D10&gt;0,$G10/$D10,"")</f>
        <v/>
      </c>
      <c r="M10" s="38" t="str">
        <f aca="false">IF($G10&gt;0,$H10/$G10,"")</f>
        <v/>
      </c>
      <c r="N10" s="38" t="str">
        <f aca="false">IF($G10&gt;0,$I10/$G10,"")</f>
        <v/>
      </c>
      <c r="O10" s="17" t="str">
        <f aca="false">IF($I10&gt;0,($H10*Estimator!$B$21-$I10)/$I10,"")</f>
        <v/>
      </c>
    </row>
    <row r="11" customFormat="false" ht="15" hidden="false" customHeight="false" outlineLevel="0" collapsed="false">
      <c r="A11" s="34"/>
      <c r="B11" s="35"/>
      <c r="C11" s="36"/>
      <c r="D11" s="36"/>
      <c r="E11" s="36"/>
      <c r="F11" s="36"/>
      <c r="G11" s="36"/>
      <c r="H11" s="37"/>
      <c r="I11" s="37"/>
      <c r="J11" s="17" t="str">
        <f aca="false">IF($C11&gt;0,$D11/$C11,"")</f>
        <v/>
      </c>
      <c r="K11" s="17" t="str">
        <f aca="false">IF($D11&gt;0,$E11/$D11,"")</f>
        <v/>
      </c>
      <c r="L11" s="28" t="str">
        <f aca="false">IF($D11&gt;0,$G11/$D11,"")</f>
        <v/>
      </c>
      <c r="M11" s="38" t="str">
        <f aca="false">IF($G11&gt;0,$H11/$G11,"")</f>
        <v/>
      </c>
      <c r="N11" s="38" t="str">
        <f aca="false">IF($G11&gt;0,$I11/$G11,"")</f>
        <v/>
      </c>
      <c r="O11" s="17" t="str">
        <f aca="false">IF($I11&gt;0,($H11*Estimator!$B$21-$I11)/$I11,"")</f>
        <v/>
      </c>
    </row>
    <row r="12" customFormat="false" ht="15" hidden="false" customHeight="false" outlineLevel="0" collapsed="false">
      <c r="A12" s="34"/>
      <c r="B12" s="35"/>
      <c r="C12" s="36"/>
      <c r="D12" s="36"/>
      <c r="E12" s="36"/>
      <c r="F12" s="36"/>
      <c r="G12" s="36"/>
      <c r="H12" s="37"/>
      <c r="I12" s="37"/>
      <c r="J12" s="17" t="str">
        <f aca="false">IF($C12&gt;0,$D12/$C12,"")</f>
        <v/>
      </c>
      <c r="K12" s="17" t="str">
        <f aca="false">IF($D12&gt;0,$E12/$D12,"")</f>
        <v/>
      </c>
      <c r="L12" s="28" t="str">
        <f aca="false">IF($D12&gt;0,$G12/$D12,"")</f>
        <v/>
      </c>
      <c r="M12" s="38" t="str">
        <f aca="false">IF($G12&gt;0,$H12/$G12,"")</f>
        <v/>
      </c>
      <c r="N12" s="38" t="str">
        <f aca="false">IF($G12&gt;0,$I12/$G12,"")</f>
        <v/>
      </c>
      <c r="O12" s="17" t="str">
        <f aca="false">IF($I12&gt;0,($H12*Estimator!$B$21-$I12)/$I12,"")</f>
        <v/>
      </c>
    </row>
    <row r="13" customFormat="false" ht="15" hidden="false" customHeight="false" outlineLevel="0" collapsed="false">
      <c r="A13" s="34"/>
      <c r="B13" s="35"/>
      <c r="C13" s="36"/>
      <c r="D13" s="36"/>
      <c r="E13" s="36"/>
      <c r="F13" s="36"/>
      <c r="G13" s="36"/>
      <c r="H13" s="37"/>
      <c r="I13" s="37"/>
      <c r="J13" s="17" t="str">
        <f aca="false">IF($C13&gt;0,$D13/$C13,"")</f>
        <v/>
      </c>
      <c r="K13" s="17" t="str">
        <f aca="false">IF($D13&gt;0,$E13/$D13,"")</f>
        <v/>
      </c>
      <c r="L13" s="28" t="str">
        <f aca="false">IF($D13&gt;0,$G13/$D13,"")</f>
        <v/>
      </c>
      <c r="M13" s="38" t="str">
        <f aca="false">IF($G13&gt;0,$H13/$G13,"")</f>
        <v/>
      </c>
      <c r="N13" s="38" t="str">
        <f aca="false">IF($G13&gt;0,$I13/$G13,"")</f>
        <v/>
      </c>
      <c r="O13" s="17" t="str">
        <f aca="false">IF($I13&gt;0,($H13*Estimator!$B$21-$I13)/$I13,"")</f>
        <v/>
      </c>
    </row>
    <row r="14" customFormat="false" ht="15" hidden="false" customHeight="false" outlineLevel="0" collapsed="false">
      <c r="A14" s="34"/>
      <c r="B14" s="35"/>
      <c r="C14" s="36"/>
      <c r="D14" s="36"/>
      <c r="E14" s="36"/>
      <c r="F14" s="36"/>
      <c r="G14" s="36"/>
      <c r="H14" s="37"/>
      <c r="I14" s="37"/>
      <c r="J14" s="17" t="str">
        <f aca="false">IF($C14&gt;0,$D14/$C14,"")</f>
        <v/>
      </c>
      <c r="K14" s="17" t="str">
        <f aca="false">IF($D14&gt;0,$E14/$D14,"")</f>
        <v/>
      </c>
      <c r="L14" s="28" t="str">
        <f aca="false">IF($D14&gt;0,$G14/$D14,"")</f>
        <v/>
      </c>
      <c r="M14" s="38" t="str">
        <f aca="false">IF($G14&gt;0,$H14/$G14,"")</f>
        <v/>
      </c>
      <c r="N14" s="38" t="str">
        <f aca="false">IF($G14&gt;0,$I14/$G14,"")</f>
        <v/>
      </c>
      <c r="O14" s="17" t="str">
        <f aca="false">IF($I14&gt;0,($H14*Estimator!$B$21-$I14)/$I14,"")</f>
        <v/>
      </c>
    </row>
    <row r="15" customFormat="false" ht="15" hidden="false" customHeight="false" outlineLevel="0" collapsed="false">
      <c r="A15" s="34"/>
      <c r="B15" s="35"/>
      <c r="C15" s="36"/>
      <c r="D15" s="36"/>
      <c r="E15" s="36"/>
      <c r="F15" s="36"/>
      <c r="G15" s="36"/>
      <c r="H15" s="37"/>
      <c r="I15" s="37"/>
      <c r="J15" s="17" t="str">
        <f aca="false">IF($C15&gt;0,$D15/$C15,"")</f>
        <v/>
      </c>
      <c r="K15" s="17" t="str">
        <f aca="false">IF($D15&gt;0,$E15/$D15,"")</f>
        <v/>
      </c>
      <c r="L15" s="28" t="str">
        <f aca="false">IF($D15&gt;0,$G15/$D15,"")</f>
        <v/>
      </c>
      <c r="M15" s="38" t="str">
        <f aca="false">IF($G15&gt;0,$H15/$G15,"")</f>
        <v/>
      </c>
      <c r="N15" s="38" t="str">
        <f aca="false">IF($G15&gt;0,$I15/$G15,"")</f>
        <v/>
      </c>
      <c r="O15" s="17" t="str">
        <f aca="false">IF($I15&gt;0,($H15*Estimator!$B$21-$I15)/$I15,"")</f>
        <v/>
      </c>
    </row>
    <row r="16" customFormat="false" ht="15" hidden="false" customHeight="false" outlineLevel="0" collapsed="false">
      <c r="A16" s="34"/>
      <c r="B16" s="35"/>
      <c r="C16" s="36"/>
      <c r="D16" s="36"/>
      <c r="E16" s="36"/>
      <c r="F16" s="36"/>
      <c r="G16" s="36"/>
      <c r="H16" s="37"/>
      <c r="I16" s="37"/>
      <c r="J16" s="17" t="str">
        <f aca="false">IF($C16&gt;0,$D16/$C16,"")</f>
        <v/>
      </c>
      <c r="K16" s="17" t="str">
        <f aca="false">IF($D16&gt;0,$E16/$D16,"")</f>
        <v/>
      </c>
      <c r="L16" s="28" t="str">
        <f aca="false">IF($D16&gt;0,$G16/$D16,"")</f>
        <v/>
      </c>
      <c r="M16" s="38" t="str">
        <f aca="false">IF($G16&gt;0,$H16/$G16,"")</f>
        <v/>
      </c>
      <c r="N16" s="38" t="str">
        <f aca="false">IF($G16&gt;0,$I16/$G16,"")</f>
        <v/>
      </c>
      <c r="O16" s="17" t="str">
        <f aca="false">IF($I16&gt;0,($H16*Estimator!$B$21-$I16)/$I16,"")</f>
        <v/>
      </c>
    </row>
    <row r="17" customFormat="false" ht="15" hidden="false" customHeight="false" outlineLevel="0" collapsed="false">
      <c r="A17" s="34"/>
      <c r="B17" s="35"/>
      <c r="C17" s="36"/>
      <c r="D17" s="36"/>
      <c r="E17" s="36"/>
      <c r="F17" s="36"/>
      <c r="G17" s="36"/>
      <c r="H17" s="37"/>
      <c r="I17" s="37"/>
      <c r="J17" s="17" t="str">
        <f aca="false">IF($C17&gt;0,$D17/$C17,"")</f>
        <v/>
      </c>
      <c r="K17" s="17" t="str">
        <f aca="false">IF($D17&gt;0,$E17/$D17,"")</f>
        <v/>
      </c>
      <c r="L17" s="28" t="str">
        <f aca="false">IF($D17&gt;0,$G17/$D17,"")</f>
        <v/>
      </c>
      <c r="M17" s="38" t="str">
        <f aca="false">IF($G17&gt;0,$H17/$G17,"")</f>
        <v/>
      </c>
      <c r="N17" s="38" t="str">
        <f aca="false">IF($G17&gt;0,$I17/$G17,"")</f>
        <v/>
      </c>
      <c r="O17" s="17" t="str">
        <f aca="false">IF($I17&gt;0,($H17*Estimator!$B$21-$I17)/$I17,"")</f>
        <v/>
      </c>
    </row>
    <row r="18" customFormat="false" ht="15" hidden="false" customHeight="false" outlineLevel="0" collapsed="false">
      <c r="A18" s="34"/>
      <c r="B18" s="35"/>
      <c r="C18" s="36"/>
      <c r="D18" s="36"/>
      <c r="E18" s="36"/>
      <c r="F18" s="36"/>
      <c r="G18" s="36"/>
      <c r="H18" s="37"/>
      <c r="I18" s="37"/>
      <c r="J18" s="17" t="str">
        <f aca="false">IF($C18&gt;0,$D18/$C18,"")</f>
        <v/>
      </c>
      <c r="K18" s="17" t="str">
        <f aca="false">IF($D18&gt;0,$E18/$D18,"")</f>
        <v/>
      </c>
      <c r="L18" s="28" t="str">
        <f aca="false">IF($D18&gt;0,$G18/$D18,"")</f>
        <v/>
      </c>
      <c r="M18" s="38" t="str">
        <f aca="false">IF($G18&gt;0,$H18/$G18,"")</f>
        <v/>
      </c>
      <c r="N18" s="38" t="str">
        <f aca="false">IF($G18&gt;0,$I18/$G18,"")</f>
        <v/>
      </c>
      <c r="O18" s="17" t="str">
        <f aca="false">IF($I18&gt;0,($H18*Estimator!$B$21-$I18)/$I18,"")</f>
        <v/>
      </c>
    </row>
    <row r="19" customFormat="false" ht="15" hidden="false" customHeight="false" outlineLevel="0" collapsed="false">
      <c r="A19" s="34"/>
      <c r="B19" s="35"/>
      <c r="C19" s="36"/>
      <c r="D19" s="36"/>
      <c r="E19" s="36"/>
      <c r="F19" s="36"/>
      <c r="G19" s="36"/>
      <c r="H19" s="37"/>
      <c r="I19" s="37"/>
      <c r="J19" s="17" t="str">
        <f aca="false">IF($C19&gt;0,$D19/$C19,"")</f>
        <v/>
      </c>
      <c r="K19" s="17" t="str">
        <f aca="false">IF($D19&gt;0,$E19/$D19,"")</f>
        <v/>
      </c>
      <c r="L19" s="28" t="str">
        <f aca="false">IF($D19&gt;0,$G19/$D19,"")</f>
        <v/>
      </c>
      <c r="M19" s="38" t="str">
        <f aca="false">IF($G19&gt;0,$H19/$G19,"")</f>
        <v/>
      </c>
      <c r="N19" s="38" t="str">
        <f aca="false">IF($G19&gt;0,$I19/$G19,"")</f>
        <v/>
      </c>
      <c r="O19" s="17" t="str">
        <f aca="false">IF($I19&gt;0,($H19*Estimator!$B$21-$I19)/$I19,"")</f>
        <v/>
      </c>
    </row>
    <row r="20" customFormat="false" ht="15" hidden="false" customHeight="false" outlineLevel="0" collapsed="false">
      <c r="A20" s="39"/>
      <c r="B20" s="27" t="s">
        <v>110</v>
      </c>
      <c r="C20" s="23" t="n">
        <f aca="false">SUM(C5:C19)</f>
        <v>10000</v>
      </c>
      <c r="D20" s="23" t="n">
        <f aca="false">SUM(D5:D19)</f>
        <v>9400</v>
      </c>
      <c r="E20" s="23" t="n">
        <f aca="false">SUM(E5:E19)</f>
        <v>250</v>
      </c>
      <c r="F20" s="23" t="n">
        <f aca="false">SUM(F5:F19)</f>
        <v>120</v>
      </c>
      <c r="G20" s="23" t="n">
        <f aca="false">SUM(G5:G19)</f>
        <v>12</v>
      </c>
      <c r="H20" s="24" t="n">
        <f aca="false">SUM(H5:H19)</f>
        <v>380</v>
      </c>
      <c r="I20" s="24" t="n">
        <f aca="false">SUM(I5:I19)</f>
        <v>310</v>
      </c>
      <c r="J20" s="25" t="n">
        <f aca="false">IF($C20&gt;0,$D20/$C20,"")</f>
        <v>0.94</v>
      </c>
      <c r="K20" s="25" t="n">
        <f aca="false">IF($D20&gt;0,$E20/$D20,"")</f>
        <v>0.0265957446808511</v>
      </c>
      <c r="L20" s="40" t="n">
        <f aca="false">IF($D20&gt;0,$G20/$D20,"")</f>
        <v>0.00127659574468085</v>
      </c>
      <c r="M20" s="24" t="n">
        <f aca="false">IF($G20&gt;0,$H20/$G20,"")</f>
        <v>31.6666666666667</v>
      </c>
      <c r="N20" s="24" t="n">
        <f aca="false">IF($G20&gt;0,$I20/$G20,"")</f>
        <v>25.8333333333333</v>
      </c>
      <c r="O20" s="25" t="n">
        <f aca="false">IF($I20&gt;0,($H20*Estimator!$B$21-$I20)/$I20,"")</f>
        <v>0.165613225806452</v>
      </c>
    </row>
    <row r="22" customFormat="false" ht="15" hidden="false" customHeight="true" outlineLevel="0" collapsed="false">
      <c r="A22" s="29" t="s">
        <v>111</v>
      </c>
      <c r="B22" s="29"/>
      <c r="C22" s="29"/>
      <c r="D22" s="29"/>
      <c r="E22" s="29"/>
      <c r="F22" s="29"/>
      <c r="G22" s="29"/>
      <c r="H22" s="29"/>
      <c r="I22" s="29"/>
      <c r="J22" s="29"/>
      <c r="K22" s="29"/>
      <c r="L22" s="29"/>
      <c r="M22" s="29"/>
      <c r="N22" s="29"/>
      <c r="O22" s="29"/>
    </row>
    <row r="23" customFormat="false" ht="15" hidden="false" customHeight="false" outlineLevel="0" collapsed="false">
      <c r="A23" s="29"/>
      <c r="B23" s="29"/>
      <c r="C23" s="29"/>
      <c r="D23" s="29"/>
      <c r="E23" s="29"/>
      <c r="F23" s="29"/>
      <c r="G23" s="29"/>
      <c r="H23" s="29"/>
      <c r="I23" s="29"/>
      <c r="J23" s="29"/>
      <c r="K23" s="29"/>
      <c r="L23" s="29"/>
      <c r="M23" s="29"/>
      <c r="N23" s="29"/>
      <c r="O23" s="29"/>
    </row>
  </sheetData>
  <mergeCells count="2">
    <mergeCell ref="A2:O3"/>
    <mergeCell ref="A22:O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9" min="2" style="0" width="14"/>
    <col collapsed="false" customWidth="true" hidden="false" outlineLevel="0" max="10" min="10" style="0" width="17"/>
  </cols>
  <sheetData>
    <row r="1" customFormat="false" ht="17.35" hidden="false" customHeight="false" outlineLevel="0" collapsed="false">
      <c r="A1" s="1" t="s">
        <v>112</v>
      </c>
    </row>
    <row r="2" customFormat="false" ht="15" hidden="false" customHeight="false" outlineLevel="0" collapsed="false">
      <c r="A2" s="2" t="s">
        <v>113</v>
      </c>
    </row>
    <row r="4" customFormat="false" ht="15" hidden="false" customHeight="false" outlineLevel="0" collapsed="false">
      <c r="B4" s="41" t="s">
        <v>47</v>
      </c>
      <c r="C4" s="41"/>
      <c r="D4" s="41"/>
      <c r="E4" s="41"/>
      <c r="F4" s="41" t="s">
        <v>48</v>
      </c>
      <c r="G4" s="41"/>
      <c r="H4" s="41"/>
      <c r="I4" s="41"/>
    </row>
    <row r="5" customFormat="false" ht="15" hidden="false" customHeight="false" outlineLevel="0" collapsed="false">
      <c r="A5" s="33" t="s">
        <v>4</v>
      </c>
      <c r="B5" s="33" t="s">
        <v>114</v>
      </c>
      <c r="C5" s="33" t="s">
        <v>100</v>
      </c>
      <c r="D5" s="33" t="s">
        <v>107</v>
      </c>
      <c r="E5" s="33" t="s">
        <v>108</v>
      </c>
      <c r="F5" s="33" t="s">
        <v>114</v>
      </c>
      <c r="G5" s="33" t="s">
        <v>100</v>
      </c>
      <c r="H5" s="33" t="s">
        <v>107</v>
      </c>
      <c r="I5" s="33" t="s">
        <v>108</v>
      </c>
      <c r="J5" s="33" t="s">
        <v>115</v>
      </c>
    </row>
    <row r="6" customFormat="false" ht="15" hidden="false" customHeight="false" outlineLevel="0" collapsed="false">
      <c r="A6" s="42" t="n">
        <v>1000</v>
      </c>
      <c r="B6" s="43" t="n">
        <f aca="false">(IF(Estimator!$B$34&gt;0,MIN(Estimator!$B$8,ROUNDDOWN($A6/Estimator!$B$34,0)),0))*Estimator!$B$34</f>
        <v>999.977769</v>
      </c>
      <c r="C6" s="44" t="n">
        <f aca="false">(IF(Estimator!$B$34&gt;0,MIN(Estimator!$B$8,ROUNDDOWN($A6/Estimator!$B$34,0)),0))*Estimator!$B$25*Estimator!$B$27</f>
        <v>15.28641</v>
      </c>
      <c r="D6" s="45" t="n">
        <f aca="false">IF(C6&gt;0,B6/C6,"n/a")</f>
        <v>65.4161290322581</v>
      </c>
      <c r="E6" s="46" t="n">
        <f aca="false">IF(B6&gt;0,(C6*Estimator!$B$48-B6)/B6,0)</f>
        <v>-0.509406827876128</v>
      </c>
      <c r="F6" s="43" t="n">
        <f aca="false">(IF(Estimator!$C$34&gt;0,MIN(Estimator!$B$8,ROUNDDOWN($A6/Estimator!$C$34,0)),0))*Estimator!$C$34</f>
        <v>999.999</v>
      </c>
      <c r="G6" s="44" t="n">
        <f aca="false">(IF(Estimator!$C$34&gt;0,MIN(Estimator!$B$8,ROUNDDOWN($A6/Estimator!$C$34,0)),0))*Estimator!$C$25*Estimator!$C$27</f>
        <v>91.665</v>
      </c>
      <c r="H6" s="45" t="n">
        <f aca="false">IF(G6&gt;0,F6/G6,"n/a")</f>
        <v>10.9092783505155</v>
      </c>
      <c r="I6" s="46" t="n">
        <f aca="false">IF(F6&gt;0,(G6*Estimator!$C$48-F6)/F6,0)</f>
        <v>5.25400819906445</v>
      </c>
      <c r="J6" s="47" t="str">
        <f aca="false">IF(E6&gt;=Estimator!$B$7,"MEETS TARGET","BELOW TARGET")</f>
        <v>BELOW TARGET</v>
      </c>
    </row>
    <row r="7" customFormat="false" ht="15" hidden="false" customHeight="false" outlineLevel="0" collapsed="false">
      <c r="A7" s="42" t="n">
        <v>2500</v>
      </c>
      <c r="B7" s="43" t="n">
        <f aca="false">(IF(Estimator!$B$34&gt;0,MIN(Estimator!$B$8,ROUNDDOWN($A7/Estimator!$B$34,0)),0))*Estimator!$B$34</f>
        <v>2499.974841</v>
      </c>
      <c r="C7" s="44" t="n">
        <f aca="false">(IF(Estimator!$B$34&gt;0,MIN(Estimator!$B$8,ROUNDDOWN($A7/Estimator!$B$34,0)),0))*Estimator!$B$25*Estimator!$B$27</f>
        <v>38.21649</v>
      </c>
      <c r="D7" s="45" t="n">
        <f aca="false">IF(C7&gt;0,B7/C7,"n/a")</f>
        <v>65.416129032258</v>
      </c>
      <c r="E7" s="46" t="n">
        <f aca="false">IF(B7&gt;0,(C7*Estimator!$B$48-B7)/B7,0)</f>
        <v>-0.509406827876128</v>
      </c>
      <c r="F7" s="43" t="n">
        <f aca="false">(IF(Estimator!$C$34&gt;0,MIN(Estimator!$B$8,ROUNDDOWN($A7/Estimator!$C$34,0)),0))*Estimator!$C$34</f>
        <v>2499.9975</v>
      </c>
      <c r="G7" s="44" t="n">
        <f aca="false">(IF(Estimator!$C$34&gt;0,MIN(Estimator!$B$8,ROUNDDOWN($A7/Estimator!$C$34,0)),0))*Estimator!$C$25*Estimator!$C$27</f>
        <v>229.1625</v>
      </c>
      <c r="H7" s="45" t="n">
        <f aca="false">IF(G7&gt;0,F7/G7,"n/a")</f>
        <v>10.9092783505155</v>
      </c>
      <c r="I7" s="46" t="n">
        <f aca="false">IF(F7&gt;0,(G7*Estimator!$C$48-F7)/F7,0)</f>
        <v>5.25400819906445</v>
      </c>
      <c r="J7" s="47" t="str">
        <f aca="false">IF(E7&gt;=Estimator!$B$7,"MEETS TARGET","BELOW TARGET")</f>
        <v>BELOW TARGET</v>
      </c>
    </row>
    <row r="8" customFormat="false" ht="15" hidden="false" customHeight="false" outlineLevel="0" collapsed="false">
      <c r="A8" s="42" t="n">
        <v>5000</v>
      </c>
      <c r="B8" s="43" t="n">
        <f aca="false">(IF(Estimator!$B$34&gt;0,MIN(Estimator!$B$8,ROUNDDOWN($A8/Estimator!$B$34,0)),0))*Estimator!$B$34</f>
        <v>3041.85</v>
      </c>
      <c r="C8" s="44" t="n">
        <f aca="false">(IF(Estimator!$B$34&gt;0,MIN(Estimator!$B$8,ROUNDDOWN($A8/Estimator!$B$34,0)),0))*Estimator!$B$25*Estimator!$B$27</f>
        <v>46.5</v>
      </c>
      <c r="D8" s="45" t="n">
        <f aca="false">IF(C8&gt;0,B8/C8,"n/a")</f>
        <v>65.4161290322581</v>
      </c>
      <c r="E8" s="46" t="n">
        <f aca="false">IF(B8&gt;0,(C8*Estimator!$B$48-B8)/B8,0)</f>
        <v>-0.509406827876128</v>
      </c>
      <c r="F8" s="43" t="n">
        <f aca="false">(IF(Estimator!$C$34&gt;0,MIN(Estimator!$B$8,ROUNDDOWN($A8/Estimator!$C$34,0)),0))*Estimator!$C$34</f>
        <v>3174.6</v>
      </c>
      <c r="G8" s="44" t="n">
        <f aca="false">(IF(Estimator!$C$34&gt;0,MIN(Estimator!$B$8,ROUNDDOWN($A8/Estimator!$C$34,0)),0))*Estimator!$C$25*Estimator!$C$27</f>
        <v>291</v>
      </c>
      <c r="H8" s="45" t="n">
        <f aca="false">IF(G8&gt;0,F8/G8,"n/a")</f>
        <v>10.9092783505155</v>
      </c>
      <c r="I8" s="46" t="n">
        <f aca="false">IF(F8&gt;0,(G8*Estimator!$C$48-F8)/F8,0)</f>
        <v>5.25400819906445</v>
      </c>
      <c r="J8" s="47" t="str">
        <f aca="false">IF(E8&gt;=Estimator!$B$7,"MEETS TARGET","BELOW TARGET")</f>
        <v>BELOW TARGET</v>
      </c>
    </row>
    <row r="9" customFormat="false" ht="15" hidden="false" customHeight="false" outlineLevel="0" collapsed="false">
      <c r="A9" s="42" t="n">
        <v>10000</v>
      </c>
      <c r="B9" s="43" t="n">
        <f aca="false">(IF(Estimator!$B$34&gt;0,MIN(Estimator!$B$8,ROUNDDOWN($A9/Estimator!$B$34,0)),0))*Estimator!$B$34</f>
        <v>3041.85</v>
      </c>
      <c r="C9" s="44" t="n">
        <f aca="false">(IF(Estimator!$B$34&gt;0,MIN(Estimator!$B$8,ROUNDDOWN($A9/Estimator!$B$34,0)),0))*Estimator!$B$25*Estimator!$B$27</f>
        <v>46.5</v>
      </c>
      <c r="D9" s="45" t="n">
        <f aca="false">IF(C9&gt;0,B9/C9,"n/a")</f>
        <v>65.4161290322581</v>
      </c>
      <c r="E9" s="46" t="n">
        <f aca="false">IF(B9&gt;0,(C9*Estimator!$B$48-B9)/B9,0)</f>
        <v>-0.509406827876128</v>
      </c>
      <c r="F9" s="43" t="n">
        <f aca="false">(IF(Estimator!$C$34&gt;0,MIN(Estimator!$B$8,ROUNDDOWN($A9/Estimator!$C$34,0)),0))*Estimator!$C$34</f>
        <v>3174.6</v>
      </c>
      <c r="G9" s="44" t="n">
        <f aca="false">(IF(Estimator!$C$34&gt;0,MIN(Estimator!$B$8,ROUNDDOWN($A9/Estimator!$C$34,0)),0))*Estimator!$C$25*Estimator!$C$27</f>
        <v>291</v>
      </c>
      <c r="H9" s="45" t="n">
        <f aca="false">IF(G9&gt;0,F9/G9,"n/a")</f>
        <v>10.9092783505155</v>
      </c>
      <c r="I9" s="46" t="n">
        <f aca="false">IF(F9&gt;0,(G9*Estimator!$C$48-F9)/F9,0)</f>
        <v>5.25400819906445</v>
      </c>
      <c r="J9" s="47" t="str">
        <f aca="false">IF(E9&gt;=Estimator!$B$7,"MEETS TARGET","BELOW TARGET")</f>
        <v>BELOW TARGET</v>
      </c>
    </row>
    <row r="10" customFormat="false" ht="15" hidden="false" customHeight="false" outlineLevel="0" collapsed="false">
      <c r="A10" s="42" t="n">
        <v>25000</v>
      </c>
      <c r="B10" s="43" t="n">
        <f aca="false">(IF(Estimator!$B$34&gt;0,MIN(Estimator!$B$8,ROUNDDOWN($A10/Estimator!$B$34,0)),0))*Estimator!$B$34</f>
        <v>3041.85</v>
      </c>
      <c r="C10" s="44" t="n">
        <f aca="false">(IF(Estimator!$B$34&gt;0,MIN(Estimator!$B$8,ROUNDDOWN($A10/Estimator!$B$34,0)),0))*Estimator!$B$25*Estimator!$B$27</f>
        <v>46.5</v>
      </c>
      <c r="D10" s="45" t="n">
        <f aca="false">IF(C10&gt;0,B10/C10,"n/a")</f>
        <v>65.4161290322581</v>
      </c>
      <c r="E10" s="46" t="n">
        <f aca="false">IF(B10&gt;0,(C10*Estimator!$B$48-B10)/B10,0)</f>
        <v>-0.509406827876128</v>
      </c>
      <c r="F10" s="43" t="n">
        <f aca="false">(IF(Estimator!$C$34&gt;0,MIN(Estimator!$B$8,ROUNDDOWN($A10/Estimator!$C$34,0)),0))*Estimator!$C$34</f>
        <v>3174.6</v>
      </c>
      <c r="G10" s="44" t="n">
        <f aca="false">(IF(Estimator!$C$34&gt;0,MIN(Estimator!$B$8,ROUNDDOWN($A10/Estimator!$C$34,0)),0))*Estimator!$C$25*Estimator!$C$27</f>
        <v>291</v>
      </c>
      <c r="H10" s="45" t="n">
        <f aca="false">IF(G10&gt;0,F10/G10,"n/a")</f>
        <v>10.9092783505155</v>
      </c>
      <c r="I10" s="46" t="n">
        <f aca="false">IF(F10&gt;0,(G10*Estimator!$C$48-F10)/F10,0)</f>
        <v>5.25400819906445</v>
      </c>
      <c r="J10" s="47" t="str">
        <f aca="false">IF(E10&gt;=Estimator!$B$7,"MEETS TARGET","BELOW TARGET")</f>
        <v>BELOW TARGET</v>
      </c>
    </row>
    <row r="11" customFormat="false" ht="15" hidden="false" customHeight="false" outlineLevel="0" collapsed="false">
      <c r="A11" s="42" t="n">
        <v>50000</v>
      </c>
      <c r="B11" s="43" t="n">
        <f aca="false">(IF(Estimator!$B$34&gt;0,MIN(Estimator!$B$8,ROUNDDOWN($A11/Estimator!$B$34,0)),0))*Estimator!$B$34</f>
        <v>3041.85</v>
      </c>
      <c r="C11" s="44" t="n">
        <f aca="false">(IF(Estimator!$B$34&gt;0,MIN(Estimator!$B$8,ROUNDDOWN($A11/Estimator!$B$34,0)),0))*Estimator!$B$25*Estimator!$B$27</f>
        <v>46.5</v>
      </c>
      <c r="D11" s="45" t="n">
        <f aca="false">IF(C11&gt;0,B11/C11,"n/a")</f>
        <v>65.4161290322581</v>
      </c>
      <c r="E11" s="46" t="n">
        <f aca="false">IF(B11&gt;0,(C11*Estimator!$B$48-B11)/B11,0)</f>
        <v>-0.509406827876128</v>
      </c>
      <c r="F11" s="43" t="n">
        <f aca="false">(IF(Estimator!$C$34&gt;0,MIN(Estimator!$B$8,ROUNDDOWN($A11/Estimator!$C$34,0)),0))*Estimator!$C$34</f>
        <v>3174.6</v>
      </c>
      <c r="G11" s="44" t="n">
        <f aca="false">(IF(Estimator!$C$34&gt;0,MIN(Estimator!$B$8,ROUNDDOWN($A11/Estimator!$C$34,0)),0))*Estimator!$C$25*Estimator!$C$27</f>
        <v>291</v>
      </c>
      <c r="H11" s="45" t="n">
        <f aca="false">IF(G11&gt;0,F11/G11,"n/a")</f>
        <v>10.9092783505155</v>
      </c>
      <c r="I11" s="46" t="n">
        <f aca="false">IF(F11&gt;0,(G11*Estimator!$C$48-F11)/F11,0)</f>
        <v>5.25400819906445</v>
      </c>
      <c r="J11" s="47" t="str">
        <f aca="false">IF(E11&gt;=Estimator!$B$7,"MEETS TARGET","BELOW TARGET")</f>
        <v>BELOW TARGET</v>
      </c>
    </row>
    <row r="13" customFormat="false" ht="15" hidden="false" customHeight="true" outlineLevel="0" collapsed="false">
      <c r="A13" s="29" t="s">
        <v>116</v>
      </c>
      <c r="B13" s="29"/>
      <c r="C13" s="29"/>
      <c r="D13" s="29"/>
      <c r="E13" s="29"/>
      <c r="F13" s="29"/>
      <c r="G13" s="29"/>
      <c r="H13" s="29"/>
      <c r="I13" s="29"/>
      <c r="J13" s="29"/>
    </row>
    <row r="14" customFormat="false" ht="15" hidden="false" customHeight="false" outlineLevel="0" collapsed="false">
      <c r="A14" s="29"/>
      <c r="B14" s="29"/>
      <c r="C14" s="29"/>
      <c r="D14" s="29"/>
      <c r="E14" s="29"/>
      <c r="F14" s="29"/>
      <c r="G14" s="29"/>
      <c r="H14" s="29"/>
      <c r="I14" s="29"/>
      <c r="J14" s="29"/>
    </row>
    <row r="15" customFormat="false" ht="15" hidden="false" customHeight="false" outlineLevel="0" collapsed="false">
      <c r="A15" s="29"/>
      <c r="B15" s="29"/>
      <c r="C15" s="29"/>
      <c r="D15" s="29"/>
      <c r="E15" s="29"/>
      <c r="F15" s="29"/>
      <c r="G15" s="29"/>
      <c r="H15" s="29"/>
      <c r="I15" s="29"/>
      <c r="J15" s="29"/>
    </row>
  </sheetData>
  <mergeCells count="3">
    <mergeCell ref="B4:E4"/>
    <mergeCell ref="F4:I4"/>
    <mergeCell ref="A13:J15"/>
  </mergeCells>
  <conditionalFormatting sqref="J6:J11">
    <cfRule type="expression" priority="2" aboveAverage="0" equalAverage="0" bottom="0" percent="0" rank="0" text="" dxfId="0">
      <formula>E6&gt;=Estimator!$B$7</formula>
    </cfRule>
    <cfRule type="expression" priority="3" aboveAverage="0" equalAverage="0" bottom="0" percent="0" rank="0" text="" dxfId="1">
      <formula>E6&lt;Estimator!$B$7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2026-07-23T19:49:51Z</dcterms:created>
  <dc:creator>openpyxl</dc:creator>
  <dc:description/>
  <dc:language>en-US</dc:language>
  <cp:lastModifiedBy/>
  <dcterms:modified xsi:type="dcterms:W3CDTF">2026-07-23T19:49:51Z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